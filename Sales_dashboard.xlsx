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hidePivotFieldList="1" defaultThemeVersion="166925"/>
  <mc:AlternateContent xmlns:mc="http://schemas.openxmlformats.org/markup-compatibility/2006">
    <mc:Choice Requires="x15">
      <x15ac:absPath xmlns:x15ac="http://schemas.microsoft.com/office/spreadsheetml/2010/11/ac" url="C:\Users\JDMC 12\Desktop\"/>
    </mc:Choice>
  </mc:AlternateContent>
  <xr:revisionPtr revIDLastSave="0" documentId="8_{DD9E433A-76E4-44E3-8844-A715AFE644F5}" xr6:coauthVersionLast="45" xr6:coauthVersionMax="45" xr10:uidLastSave="{00000000-0000-0000-0000-000000000000}"/>
  <bookViews>
    <workbookView xWindow="-120" yWindow="-120" windowWidth="29040" windowHeight="15720" activeTab="4" xr2:uid="{2413DAD1-4C38-4A44-A392-D078C06D38A3}"/>
  </bookViews>
  <sheets>
    <sheet name="cat-profit" sheetId="3" r:id="rId1"/>
    <sheet name="reg-sale" sheetId="4" r:id="rId2"/>
    <sheet name="mon-sale" sheetId="6" r:id="rId3"/>
    <sheet name="reg-cat-profit" sheetId="8" r:id="rId4"/>
    <sheet name="pdt-sale" sheetId="9" r:id="rId5"/>
    <sheet name="cust-sale" sheetId="10" r:id="rId6"/>
    <sheet name="Sheet9" sheetId="11" r:id="rId7"/>
    <sheet name="Sheet2" sheetId="2" r:id="rId8"/>
    <sheet name="Sheet7" sheetId="7" r:id="rId9"/>
  </sheets>
  <definedNames>
    <definedName name="ExternalData_1" localSheetId="7" hidden="1">Sheet2!$A$1:$H$501</definedName>
    <definedName name="Slicer_Date">#N/A</definedName>
    <definedName name="Slicer_Product">#N/A</definedName>
    <definedName name="Slicer_Region">#N/A</definedName>
    <definedName name="Slicer_Regi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6" i="2" l="1"/>
  <c r="J12" i="2"/>
  <c r="J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0C628E-760D-456D-A231-47885ABB2463}" keepAlive="1" name="Query - sales_dataset_500_rows" description="Connection to the 'sales_dataset_500_rows' query in the workbook." type="5" refreshedVersion="6" background="1" saveData="1">
    <dbPr connection="Provider=Microsoft.Mashup.OleDb.1;Data Source=$Workbook$;Location=sales_dataset_500_rows;Extended Properties=&quot;&quot;" command="SELECT * FROM [sales_dataset_500_rows]"/>
  </connection>
</connections>
</file>

<file path=xl/sharedStrings.xml><?xml version="1.0" encoding="utf-8"?>
<sst xmlns="http://schemas.openxmlformats.org/spreadsheetml/2006/main" count="2099" uniqueCount="149">
  <si>
    <t>OrderID</t>
  </si>
  <si>
    <t>Date</t>
  </si>
  <si>
    <t>Region</t>
  </si>
  <si>
    <t>Category</t>
  </si>
  <si>
    <t>Product</t>
  </si>
  <si>
    <t>Customer</t>
  </si>
  <si>
    <t>Sales</t>
  </si>
  <si>
    <t>Profit</t>
  </si>
  <si>
    <t>South</t>
  </si>
  <si>
    <t>Clothing</t>
  </si>
  <si>
    <t>Shoes</t>
  </si>
  <si>
    <t>Customer_3</t>
  </si>
  <si>
    <t>East</t>
  </si>
  <si>
    <t>Electronics</t>
  </si>
  <si>
    <t>Monitor</t>
  </si>
  <si>
    <t>Customer_2</t>
  </si>
  <si>
    <t>Furniture</t>
  </si>
  <si>
    <t>Chair</t>
  </si>
  <si>
    <t>Customer_22</t>
  </si>
  <si>
    <t>Shirt</t>
  </si>
  <si>
    <t>Customer_95</t>
  </si>
  <si>
    <t>West</t>
  </si>
  <si>
    <t>Tablet</t>
  </si>
  <si>
    <t>Customer_49</t>
  </si>
  <si>
    <t>Customer_63</t>
  </si>
  <si>
    <t>Jeans</t>
  </si>
  <si>
    <t>Customer_67</t>
  </si>
  <si>
    <t>Jacket</t>
  </si>
  <si>
    <t>Customer_80</t>
  </si>
  <si>
    <t>Headphones</t>
  </si>
  <si>
    <t>Customer_51</t>
  </si>
  <si>
    <t>North</t>
  </si>
  <si>
    <t>Customer_72</t>
  </si>
  <si>
    <t>Laptop</t>
  </si>
  <si>
    <t>Customer_46</t>
  </si>
  <si>
    <t>Sweater</t>
  </si>
  <si>
    <t>Customer_82</t>
  </si>
  <si>
    <t>Customer_21</t>
  </si>
  <si>
    <t>Customer_23</t>
  </si>
  <si>
    <t>Customer_62</t>
  </si>
  <si>
    <t>Customer_19</t>
  </si>
  <si>
    <t>Mobile</t>
  </si>
  <si>
    <t>Customer_85</t>
  </si>
  <si>
    <t>Customer_60</t>
  </si>
  <si>
    <t>Table</t>
  </si>
  <si>
    <t>Customer_56</t>
  </si>
  <si>
    <t>Customer_65</t>
  </si>
  <si>
    <t>Shelf</t>
  </si>
  <si>
    <t>Customer_13</t>
  </si>
  <si>
    <t>Customer_10</t>
  </si>
  <si>
    <t>Customer_45</t>
  </si>
  <si>
    <t>Customer_87</t>
  </si>
  <si>
    <t>Customer_55</t>
  </si>
  <si>
    <t>Customer_40</t>
  </si>
  <si>
    <t>Customer_57</t>
  </si>
  <si>
    <t>Customer_37</t>
  </si>
  <si>
    <t>Customer_76</t>
  </si>
  <si>
    <t>Customer_59</t>
  </si>
  <si>
    <t>Customer_73</t>
  </si>
  <si>
    <t>Customer_90</t>
  </si>
  <si>
    <t>Customer_53</t>
  </si>
  <si>
    <t>Customer_35</t>
  </si>
  <si>
    <t>Customer_50</t>
  </si>
  <si>
    <t>Customer_32</t>
  </si>
  <si>
    <t>Customer_9</t>
  </si>
  <si>
    <t>Customer_7</t>
  </si>
  <si>
    <t>Sofa</t>
  </si>
  <si>
    <t>Customer_81</t>
  </si>
  <si>
    <t>Customer_61</t>
  </si>
  <si>
    <t>Customer_14</t>
  </si>
  <si>
    <t>Customer_69</t>
  </si>
  <si>
    <t>Desk</t>
  </si>
  <si>
    <t>Customer_75</t>
  </si>
  <si>
    <t>Customer_93</t>
  </si>
  <si>
    <t>Customer_98</t>
  </si>
  <si>
    <t>Customer_29</t>
  </si>
  <si>
    <t>Customer_41</t>
  </si>
  <si>
    <t>Customer_5</t>
  </si>
  <si>
    <t>Customer_17</t>
  </si>
  <si>
    <t>Customer_27</t>
  </si>
  <si>
    <t>Customer_58</t>
  </si>
  <si>
    <t>Customer_12</t>
  </si>
  <si>
    <t>Customer_11</t>
  </si>
  <si>
    <t>Customer_36</t>
  </si>
  <si>
    <t>Customer_89</t>
  </si>
  <si>
    <t>Customer_77</t>
  </si>
  <si>
    <t>Customer_31</t>
  </si>
  <si>
    <t>Customer_20</t>
  </si>
  <si>
    <t>Customer_8</t>
  </si>
  <si>
    <t>Customer_26</t>
  </si>
  <si>
    <t>Customer_24</t>
  </si>
  <si>
    <t>Customer_25</t>
  </si>
  <si>
    <t>Customer_18</t>
  </si>
  <si>
    <t>Customer_94</t>
  </si>
  <si>
    <t>Customer_99</t>
  </si>
  <si>
    <t>Customer_4</t>
  </si>
  <si>
    <t>Customer_54</t>
  </si>
  <si>
    <t>Customer_88</t>
  </si>
  <si>
    <t>Customer_33</t>
  </si>
  <si>
    <t>Customer_47</t>
  </si>
  <si>
    <t>Customer_91</t>
  </si>
  <si>
    <t>Customer_79</t>
  </si>
  <si>
    <t>Customer_34</t>
  </si>
  <si>
    <t>Customer_71</t>
  </si>
  <si>
    <t>Customer_16</t>
  </si>
  <si>
    <t>Customer_44</t>
  </si>
  <si>
    <t>Customer_70</t>
  </si>
  <si>
    <t>Customer_15</t>
  </si>
  <si>
    <t>Customer_39</t>
  </si>
  <si>
    <t>Customer_74</t>
  </si>
  <si>
    <t>Customer_83</t>
  </si>
  <si>
    <t>Customer_68</t>
  </si>
  <si>
    <t>Customer_1</t>
  </si>
  <si>
    <t>Customer_84</t>
  </si>
  <si>
    <t>Customer_86</t>
  </si>
  <si>
    <t>Customer_78</t>
  </si>
  <si>
    <t>Customer_92</t>
  </si>
  <si>
    <t>Customer_43</t>
  </si>
  <si>
    <t>Customer_96</t>
  </si>
  <si>
    <t>Customer_28</t>
  </si>
  <si>
    <t>Customer_52</t>
  </si>
  <si>
    <t>Customer_30</t>
  </si>
  <si>
    <t>Customer_6</t>
  </si>
  <si>
    <t>Customer_97</t>
  </si>
  <si>
    <t>Customer_38</t>
  </si>
  <si>
    <t>Customer_42</t>
  </si>
  <si>
    <t>Customer_100</t>
  </si>
  <si>
    <t>Customer_66</t>
  </si>
  <si>
    <t>Customer_64</t>
  </si>
  <si>
    <t>Row Labels</t>
  </si>
  <si>
    <t>Grand Total</t>
  </si>
  <si>
    <t>Sum of Sales</t>
  </si>
  <si>
    <t>Jan</t>
  </si>
  <si>
    <t>Feb</t>
  </si>
  <si>
    <t>Mar</t>
  </si>
  <si>
    <t>Apr</t>
  </si>
  <si>
    <t>May</t>
  </si>
  <si>
    <t>Jun</t>
  </si>
  <si>
    <t>Jul</t>
  </si>
  <si>
    <t>Aug</t>
  </si>
  <si>
    <t>Sep</t>
  </si>
  <si>
    <t>Oct</t>
  </si>
  <si>
    <t>Nov</t>
  </si>
  <si>
    <t>Dec</t>
  </si>
  <si>
    <t xml:space="preserve">TOTAL SALES </t>
  </si>
  <si>
    <t xml:space="preserve">TOTAL PROFIT </t>
  </si>
  <si>
    <t>TOTAL ORDERS</t>
  </si>
  <si>
    <t>Column Labels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</si>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</sst>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164" formatCode="[$-14009]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dashboard.xlsx]cat-profit!PivotTable1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Total sale by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'cat-profit'!$B$3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'cat-profit'!$A$4:$A$7</c:f>
              <c:strCache>
                <c:ptCount val="3"/>
                <c:pt idx="0">
                  <c:v>Clothing</c:v>
                </c:pt>
                <c:pt idx="1">
                  <c:v>Electronics</c:v>
                </c:pt>
                <c:pt idx="2">
                  <c:v>Furniture</c:v>
                </c:pt>
              </c:strCache>
            </c:strRef>
          </c:cat>
          <c:val>
            <c:numRef>
              <c:f>'cat-profit'!$B$4:$B$7</c:f>
              <c:numCache>
                <c:formatCode>General</c:formatCode>
                <c:ptCount val="3"/>
                <c:pt idx="0">
                  <c:v>838543.28000000014</c:v>
                </c:pt>
                <c:pt idx="1">
                  <c:v>710302.9600000002</c:v>
                </c:pt>
                <c:pt idx="2">
                  <c:v>761915.19000000029</c:v>
                </c:pt>
              </c:numCache>
            </c:numRef>
          </c:val>
          <c:extLst>
            <c:ext xmlns:c16="http://schemas.microsoft.com/office/drawing/2014/chart" uri="{C3380CC4-5D6E-409C-BE32-E72D297353CC}">
              <c16:uniqueId val="{00000001-C1A6-4396-B936-2950017ECE02}"/>
            </c:ext>
          </c:extLst>
        </c:ser>
        <c:dLbls>
          <c:showLegendKey val="0"/>
          <c:showVal val="1"/>
          <c:showCatName val="0"/>
          <c:showSerName val="0"/>
          <c:showPercent val="0"/>
          <c:showBubbleSize val="0"/>
        </c:dLbls>
        <c:gapWidth val="150"/>
        <c:shape val="box"/>
        <c:axId val="922435728"/>
        <c:axId val="922433104"/>
        <c:axId val="0"/>
      </c:bar3DChart>
      <c:catAx>
        <c:axId val="922435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2433104"/>
        <c:crosses val="autoZero"/>
        <c:auto val="1"/>
        <c:lblAlgn val="ctr"/>
        <c:lblOffset val="100"/>
        <c:noMultiLvlLbl val="0"/>
      </c:catAx>
      <c:valAx>
        <c:axId val="9224331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43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[Sales_dashboard.xlsx]reg-sale!PivotTable2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'reg-sale'!$B$3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7D-4A39-B6C0-6A1562CE5B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7D-4A39-B6C0-6A1562CE5B9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7D-4A39-B6C0-6A1562CE5B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7D-4A39-B6C0-6A1562CE5B98}"/>
              </c:ext>
            </c:extLst>
          </c:dPt>
          <c:cat>
            <c:strRef>
              <c:f>'reg-sale'!$A$4:$A$8</c:f>
              <c:strCache>
                <c:ptCount val="4"/>
                <c:pt idx="0">
                  <c:v>East</c:v>
                </c:pt>
                <c:pt idx="1">
                  <c:v>North</c:v>
                </c:pt>
                <c:pt idx="2">
                  <c:v>South</c:v>
                </c:pt>
                <c:pt idx="3">
                  <c:v>West</c:v>
                </c:pt>
              </c:strCache>
            </c:strRef>
          </c:cat>
          <c:val>
            <c:numRef>
              <c:f>'reg-sale'!$B$4:$B$8</c:f>
              <c:numCache>
                <c:formatCode>General</c:formatCode>
                <c:ptCount val="4"/>
                <c:pt idx="0">
                  <c:v>3364806</c:v>
                </c:pt>
                <c:pt idx="1">
                  <c:v>3788446</c:v>
                </c:pt>
                <c:pt idx="2">
                  <c:v>4263110</c:v>
                </c:pt>
                <c:pt idx="3">
                  <c:v>4104927</c:v>
                </c:pt>
              </c:numCache>
            </c:numRef>
          </c:val>
          <c:extLst>
            <c:ext xmlns:c16="http://schemas.microsoft.com/office/drawing/2014/chart" uri="{C3380CC4-5D6E-409C-BE32-E72D297353CC}">
              <c16:uniqueId val="{00000000-B23E-43F9-8352-5A8E72BB3B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[Sales_dashboard.xlsx]mon-sale!PivotTable4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Month wise</a:t>
            </a:r>
          </a:p>
        </c:rich>
      </c:tx>
      <c:layout>
        <c:manualLayout>
          <c:xMode val="edge"/>
          <c:yMode val="edge"/>
          <c:x val="0.33555555555555561"/>
          <c:y val="3.240740740740740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'mon-sale'!$B$3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'mon-sale'!$A$4:$A$15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'mon-sale'!$B$4:$B$15</c:f>
              <c:numCache>
                <c:formatCode>General</c:formatCode>
                <c:ptCount val="12"/>
                <c:pt idx="0">
                  <c:v>1451799</c:v>
                </c:pt>
                <c:pt idx="1">
                  <c:v>1492886</c:v>
                </c:pt>
                <c:pt idx="2">
                  <c:v>1717955</c:v>
                </c:pt>
                <c:pt idx="3">
                  <c:v>1380348</c:v>
                </c:pt>
                <c:pt idx="4">
                  <c:v>1214279</c:v>
                </c:pt>
                <c:pt idx="5">
                  <c:v>1357412</c:v>
                </c:pt>
                <c:pt idx="6">
                  <c:v>1537870</c:v>
                </c:pt>
                <c:pt idx="7">
                  <c:v>826376</c:v>
                </c:pt>
                <c:pt idx="8">
                  <c:v>1079337</c:v>
                </c:pt>
                <c:pt idx="9">
                  <c:v>1359972</c:v>
                </c:pt>
                <c:pt idx="10">
                  <c:v>864531</c:v>
                </c:pt>
                <c:pt idx="11">
                  <c:v>1238524</c:v>
                </c:pt>
              </c:numCache>
            </c:numRef>
          </c:val>
          <c:smooth val="0"/>
          <c:extLst>
            <c:ext xmlns:c16="http://schemas.microsoft.com/office/drawing/2014/chart" uri="{C3380CC4-5D6E-409C-BE32-E72D297353CC}">
              <c16:uniqueId val="{00000000-D036-47DE-89DE-E75A281A4A41}"/>
            </c:ext>
          </c:extLst>
        </c:ser>
        <c:dLbls>
          <c:showLegendKey val="0"/>
          <c:showVal val="0"/>
          <c:showCatName val="0"/>
          <c:showSerName val="0"/>
          <c:showPercent val="0"/>
          <c:showBubbleSize val="0"/>
        </c:dLbls>
        <c:marker val="1"/>
        <c:smooth val="0"/>
        <c:axId val="437109800"/>
        <c:axId val="915982144"/>
      </c:lineChart>
      <c:catAx>
        <c:axId val="437109800"/>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2144"/>
        <c:crosses val="autoZero"/>
        <c:auto val="1"/>
        <c:lblAlgn val="ctr"/>
        <c:lblOffset val="100"/>
        <c:noMultiLvlLbl val="0"/>
      </c:catAx>
      <c:valAx>
        <c:axId val="91598214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9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[Sales_dashboard.xlsx]reg-cat-profit!PivotTable1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'reg-cat-profit'!$B$3:$B$4</c:f>
              <c:strCache>
                <c:ptCount val="1"/>
                <c:pt idx="0">
                  <c:v>East</c:v>
                </c:pt>
              </c:strCache>
            </c:strRef>
          </c:tx>
          <c:spPr>
            <a:solidFill>
              <a:schemeClr val="accent1"/>
            </a:solidFill>
            <a:ln>
              <a:noFill/>
            </a:ln>
            <a:effectLst/>
          </c:spPr>
          <c:invertIfNegative val="0"/>
          <c:cat>
            <c:strRef>
              <c:f>'reg-cat-profit'!$A$5:$A$8</c:f>
              <c:strCache>
                <c:ptCount val="3"/>
                <c:pt idx="0">
                  <c:v>Clothing</c:v>
                </c:pt>
                <c:pt idx="1">
                  <c:v>Electronics</c:v>
                </c:pt>
                <c:pt idx="2">
                  <c:v>Furniture</c:v>
                </c:pt>
              </c:strCache>
            </c:strRef>
          </c:cat>
          <c:val>
            <c:numRef>
              <c:f>'reg-cat-profit'!$B$5:$B$8</c:f>
              <c:numCache>
                <c:formatCode>General</c:formatCode>
                <c:ptCount val="3"/>
                <c:pt idx="0">
                  <c:v>186672.59000000008</c:v>
                </c:pt>
                <c:pt idx="1">
                  <c:v>125862.39999999998</c:v>
                </c:pt>
                <c:pt idx="2">
                  <c:v>162969.07000000004</c:v>
                </c:pt>
              </c:numCache>
            </c:numRef>
          </c:val>
          <c:extLst>
            <c:ext xmlns:c16="http://schemas.microsoft.com/office/drawing/2014/chart" uri="{C3380CC4-5D6E-409C-BE32-E72D297353CC}">
              <c16:uniqueId val="{00000000-20D6-4ECA-9C0B-24B69FB76DAB}"/>
            </c:ext>
          </c:extLst>
        </c:ser>
        <c:ser>
          <c:idx val="1"/>
          <c:order val="1"/>
          <c:tx>
            <c:strRef>
              <c:f>'reg-cat-profit'!$C$3:$C$4</c:f>
              <c:strCache>
                <c:ptCount val="1"/>
                <c:pt idx="0">
                  <c:v>North</c:v>
                </c:pt>
              </c:strCache>
            </c:strRef>
          </c:tx>
          <c:spPr>
            <a:solidFill>
              <a:schemeClr val="accent2"/>
            </a:solidFill>
            <a:ln>
              <a:noFill/>
            </a:ln>
            <a:effectLst/>
          </c:spPr>
          <c:invertIfNegative val="0"/>
          <c:cat>
            <c:strRef>
              <c:f>'reg-cat-profit'!$A$5:$A$8</c:f>
              <c:strCache>
                <c:ptCount val="3"/>
                <c:pt idx="0">
                  <c:v>Clothing</c:v>
                </c:pt>
                <c:pt idx="1">
                  <c:v>Electronics</c:v>
                </c:pt>
                <c:pt idx="2">
                  <c:v>Furniture</c:v>
                </c:pt>
              </c:strCache>
            </c:strRef>
          </c:cat>
          <c:val>
            <c:numRef>
              <c:f>'reg-cat-profit'!$C$5:$C$8</c:f>
              <c:numCache>
                <c:formatCode>General</c:formatCode>
                <c:ptCount val="3"/>
                <c:pt idx="0">
                  <c:v>239456.82999999996</c:v>
                </c:pt>
                <c:pt idx="1">
                  <c:v>163619.92999999996</c:v>
                </c:pt>
                <c:pt idx="2">
                  <c:v>168519.06</c:v>
                </c:pt>
              </c:numCache>
            </c:numRef>
          </c:val>
          <c:extLst>
            <c:ext xmlns:c16="http://schemas.microsoft.com/office/drawing/2014/chart" uri="{C3380CC4-5D6E-409C-BE32-E72D297353CC}">
              <c16:uniqueId val="{00000001-20D6-4ECA-9C0B-24B69FB76DAB}"/>
            </c:ext>
          </c:extLst>
        </c:ser>
        <c:ser>
          <c:idx val="2"/>
          <c:order val="2"/>
          <c:tx>
            <c:strRef>
              <c:f>'reg-cat-profit'!$D$3:$D$4</c:f>
              <c:strCache>
                <c:ptCount val="1"/>
                <c:pt idx="0">
                  <c:v>South</c:v>
                </c:pt>
              </c:strCache>
            </c:strRef>
          </c:tx>
          <c:spPr>
            <a:solidFill>
              <a:schemeClr val="accent3"/>
            </a:solidFill>
            <a:ln>
              <a:noFill/>
            </a:ln>
            <a:effectLst/>
          </c:spPr>
          <c:invertIfNegative val="0"/>
          <c:cat>
            <c:strRef>
              <c:f>'reg-cat-profit'!$A$5:$A$8</c:f>
              <c:strCache>
                <c:ptCount val="3"/>
                <c:pt idx="0">
                  <c:v>Clothing</c:v>
                </c:pt>
                <c:pt idx="1">
                  <c:v>Electronics</c:v>
                </c:pt>
                <c:pt idx="2">
                  <c:v>Furniture</c:v>
                </c:pt>
              </c:strCache>
            </c:strRef>
          </c:cat>
          <c:val>
            <c:numRef>
              <c:f>'reg-cat-profit'!$D$5:$D$8</c:f>
              <c:numCache>
                <c:formatCode>General</c:formatCode>
                <c:ptCount val="3"/>
                <c:pt idx="0">
                  <c:v>212636.47999999998</c:v>
                </c:pt>
                <c:pt idx="1">
                  <c:v>191005.58000000002</c:v>
                </c:pt>
                <c:pt idx="2">
                  <c:v>224815.01</c:v>
                </c:pt>
              </c:numCache>
            </c:numRef>
          </c:val>
          <c:extLst>
            <c:ext xmlns:c16="http://schemas.microsoft.com/office/drawing/2014/chart" uri="{C3380CC4-5D6E-409C-BE32-E72D297353CC}">
              <c16:uniqueId val="{00000002-20D6-4ECA-9C0B-24B69FB76DAB}"/>
            </c:ext>
          </c:extLst>
        </c:ser>
        <c:ser>
          <c:idx val="3"/>
          <c:order val="3"/>
          <c:tx>
            <c:strRef>
              <c:f>'reg-cat-profit'!$E$3:$E$4</c:f>
              <c:strCache>
                <c:ptCount val="1"/>
                <c:pt idx="0">
                  <c:v>West</c:v>
                </c:pt>
              </c:strCache>
            </c:strRef>
          </c:tx>
          <c:spPr>
            <a:solidFill>
              <a:schemeClr val="accent4"/>
            </a:solidFill>
            <a:ln>
              <a:noFill/>
            </a:ln>
            <a:effectLst/>
          </c:spPr>
          <c:invertIfNegative val="0"/>
          <c:cat>
            <c:strRef>
              <c:f>'reg-cat-profit'!$A$5:$A$8</c:f>
              <c:strCache>
                <c:ptCount val="3"/>
                <c:pt idx="0">
                  <c:v>Clothing</c:v>
                </c:pt>
                <c:pt idx="1">
                  <c:v>Electronics</c:v>
                </c:pt>
                <c:pt idx="2">
                  <c:v>Furniture</c:v>
                </c:pt>
              </c:strCache>
            </c:strRef>
          </c:cat>
          <c:val>
            <c:numRef>
              <c:f>'reg-cat-profit'!$E$5:$E$8</c:f>
              <c:numCache>
                <c:formatCode>General</c:formatCode>
                <c:ptCount val="3"/>
                <c:pt idx="0">
                  <c:v>199777.38000000006</c:v>
                </c:pt>
                <c:pt idx="1">
                  <c:v>229815.05</c:v>
                </c:pt>
                <c:pt idx="2">
                  <c:v>205612.05000000008</c:v>
                </c:pt>
              </c:numCache>
            </c:numRef>
          </c:val>
          <c:extLst>
            <c:ext xmlns:c16="http://schemas.microsoft.com/office/drawing/2014/chart" uri="{C3380CC4-5D6E-409C-BE32-E72D297353CC}">
              <c16:uniqueId val="{00000003-20D6-4ECA-9C0B-24B69FB76DAB}"/>
            </c:ext>
          </c:extLst>
        </c:ser>
        <c:dLbls>
          <c:showLegendKey val="0"/>
          <c:showVal val="0"/>
          <c:showCatName val="0"/>
          <c:showSerName val="0"/>
          <c:showPercent val="0"/>
          <c:showBubbleSize val="0"/>
        </c:dLbls>
        <c:gapWidth val="150"/>
        <c:overlap val="100"/>
        <c:axId val="910262440"/>
        <c:axId val="910270968"/>
      </c:barChart>
      <c:catAx>
        <c:axId val="91026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70968"/>
        <c:crosses val="autoZero"/>
        <c:auto val="1"/>
        <c:lblAlgn val="ctr"/>
        <c:lblOffset val="100"/>
        <c:noMultiLvlLbl val="0"/>
      </c:catAx>
      <c:valAx>
        <c:axId val="910270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62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[Sales_dashboard.xlsx]pdt-sale!PivotTable2</c:name>
    <c:fmtId val="0"/>
  </c:pivotSource>
  <c:chart>
    <c:title>
      <c:layout>
        <c:manualLayout>
          <c:xMode val="edge"/>
          <c:yMode val="edge"/>
          <c:x val="0.4445833333333333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'pdt-sale'!$B$3</c:f>
              <c:strCache>
                <c:ptCount val="1"/>
                <c:pt idx="0">
                  <c:v>Total</c:v>
                </c:pt>
              </c:strCache>
            </c:strRef>
          </c:tx>
          <c:spPr>
            <a:solidFill>
              <a:schemeClr val="accent1"/>
            </a:solidFill>
            <a:ln>
              <a:noFill/>
            </a:ln>
            <a:effectLst/>
            <a:sp3d/>
          </c:spPr>
          <c:invertIfNegative val="0"/>
          <c:cat>
            <c:strRef>
              <c:f>'pdt-sale'!$A$4:$A$18</c:f>
              <c:strCache>
                <c:ptCount val="15"/>
                <c:pt idx="0">
                  <c:v>Chair</c:v>
                </c:pt>
                <c:pt idx="1">
                  <c:v>Desk</c:v>
                </c:pt>
                <c:pt idx="2">
                  <c:v>Headphones</c:v>
                </c:pt>
                <c:pt idx="3">
                  <c:v>Jacket</c:v>
                </c:pt>
                <c:pt idx="4">
                  <c:v>Jeans</c:v>
                </c:pt>
                <c:pt idx="5">
                  <c:v>Laptop</c:v>
                </c:pt>
                <c:pt idx="6">
                  <c:v>Mobile</c:v>
                </c:pt>
                <c:pt idx="7">
                  <c:v>Monitor</c:v>
                </c:pt>
                <c:pt idx="8">
                  <c:v>Shelf</c:v>
                </c:pt>
                <c:pt idx="9">
                  <c:v>Shirt</c:v>
                </c:pt>
                <c:pt idx="10">
                  <c:v>Shoes</c:v>
                </c:pt>
                <c:pt idx="11">
                  <c:v>Sofa</c:v>
                </c:pt>
                <c:pt idx="12">
                  <c:v>Sweater</c:v>
                </c:pt>
                <c:pt idx="13">
                  <c:v>Table</c:v>
                </c:pt>
                <c:pt idx="14">
                  <c:v>Tablet</c:v>
                </c:pt>
              </c:strCache>
            </c:strRef>
          </c:cat>
          <c:val>
            <c:numRef>
              <c:f>'pdt-sale'!$B$4:$B$18</c:f>
              <c:numCache>
                <c:formatCode>General</c:formatCode>
                <c:ptCount val="15"/>
                <c:pt idx="0">
                  <c:v>154805.03</c:v>
                </c:pt>
                <c:pt idx="1">
                  <c:v>112260.73</c:v>
                </c:pt>
                <c:pt idx="2">
                  <c:v>151121.53000000006</c:v>
                </c:pt>
                <c:pt idx="3">
                  <c:v>234719.71</c:v>
                </c:pt>
                <c:pt idx="4">
                  <c:v>201786.96999999997</c:v>
                </c:pt>
                <c:pt idx="5">
                  <c:v>158166.55000000002</c:v>
                </c:pt>
                <c:pt idx="6">
                  <c:v>166456.09999999998</c:v>
                </c:pt>
                <c:pt idx="7">
                  <c:v>96763.939999999973</c:v>
                </c:pt>
                <c:pt idx="8">
                  <c:v>167021.29999999999</c:v>
                </c:pt>
                <c:pt idx="9">
                  <c:v>146815.17000000001</c:v>
                </c:pt>
                <c:pt idx="10">
                  <c:v>153646.05000000002</c:v>
                </c:pt>
                <c:pt idx="11">
                  <c:v>224767.26000000004</c:v>
                </c:pt>
                <c:pt idx="12">
                  <c:v>101575.37999999999</c:v>
                </c:pt>
                <c:pt idx="13">
                  <c:v>103060.87000000002</c:v>
                </c:pt>
                <c:pt idx="14">
                  <c:v>137794.84</c:v>
                </c:pt>
              </c:numCache>
            </c:numRef>
          </c:val>
          <c:extLst>
            <c:ext xmlns:c16="http://schemas.microsoft.com/office/drawing/2014/chart" uri="{C3380CC4-5D6E-409C-BE32-E72D297353CC}">
              <c16:uniqueId val="{00000000-3EA9-4AC3-9AEF-CDF63392CFD1}"/>
            </c:ext>
          </c:extLst>
        </c:ser>
        <c:dLbls>
          <c:showLegendKey val="0"/>
          <c:showVal val="0"/>
          <c:showCatName val="0"/>
          <c:showSerName val="0"/>
          <c:showPercent val="0"/>
          <c:showBubbleSize val="0"/>
        </c:dLbls>
        <c:gapWidth val="150"/>
        <c:shape val="box"/>
        <c:axId val="559033376"/>
        <c:axId val="559035016"/>
        <c:axId val="0"/>
      </c:bar3DChart>
      <c:catAx>
        <c:axId val="55903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35016"/>
        <c:crosses val="autoZero"/>
        <c:auto val="1"/>
        <c:lblAlgn val="ctr"/>
        <c:lblOffset val="100"/>
        <c:noMultiLvlLbl val="0"/>
      </c:catAx>
      <c:valAx>
        <c:axId val="559035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3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[Sales_dashboard.xlsx]cust-sale!PivotTable3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'cust-sale'!$B$3</c:f>
              <c:strCache>
                <c:ptCount val="1"/>
                <c:pt idx="0">
                  <c:v>Total</c:v>
                </c:pt>
              </c:strCache>
            </c:strRef>
          </c:tx>
          <c:spPr>
            <a:solidFill>
              <a:schemeClr val="accent1"/>
            </a:solidFill>
            <a:ln>
              <a:noFill/>
            </a:ln>
            <a:effectLst/>
            <a:sp3d/>
          </c:spPr>
          <c:invertIfNegative val="0"/>
          <c:cat>
            <c:strRef>
              <c:f>'cust-sale'!$A$4:$A$14</c:f>
              <c:strCache>
                <c:ptCount val="10"/>
                <c:pt idx="0">
                  <c:v>Customer_2</c:v>
                </c:pt>
                <c:pt idx="1">
                  <c:v>Customer_20</c:v>
                </c:pt>
                <c:pt idx="2">
                  <c:v>Customer_26</c:v>
                </c:pt>
                <c:pt idx="3">
                  <c:v>Customer_27</c:v>
                </c:pt>
                <c:pt idx="4">
                  <c:v>Customer_51</c:v>
                </c:pt>
                <c:pt idx="5">
                  <c:v>Customer_60</c:v>
                </c:pt>
                <c:pt idx="6">
                  <c:v>Customer_63</c:v>
                </c:pt>
                <c:pt idx="7">
                  <c:v>Customer_7</c:v>
                </c:pt>
                <c:pt idx="8">
                  <c:v>Customer_76</c:v>
                </c:pt>
                <c:pt idx="9">
                  <c:v>Customer_89</c:v>
                </c:pt>
              </c:strCache>
            </c:strRef>
          </c:cat>
          <c:val>
            <c:numRef>
              <c:f>'cust-sale'!$B$4:$B$14</c:f>
              <c:numCache>
                <c:formatCode>General</c:formatCode>
                <c:ptCount val="10"/>
                <c:pt idx="0">
                  <c:v>277736</c:v>
                </c:pt>
                <c:pt idx="1">
                  <c:v>335316</c:v>
                </c:pt>
                <c:pt idx="2">
                  <c:v>342037</c:v>
                </c:pt>
                <c:pt idx="3">
                  <c:v>330848</c:v>
                </c:pt>
                <c:pt idx="4">
                  <c:v>317871</c:v>
                </c:pt>
                <c:pt idx="5">
                  <c:v>271175</c:v>
                </c:pt>
                <c:pt idx="6">
                  <c:v>333760</c:v>
                </c:pt>
                <c:pt idx="7">
                  <c:v>295070</c:v>
                </c:pt>
                <c:pt idx="8">
                  <c:v>307615</c:v>
                </c:pt>
                <c:pt idx="9">
                  <c:v>336874</c:v>
                </c:pt>
              </c:numCache>
            </c:numRef>
          </c:val>
          <c:extLst>
            <c:ext xmlns:c16="http://schemas.microsoft.com/office/drawing/2014/chart" uri="{C3380CC4-5D6E-409C-BE32-E72D297353CC}">
              <c16:uniqueId val="{00000000-3985-4E1B-8EE6-CE1FECD037D7}"/>
            </c:ext>
          </c:extLst>
        </c:ser>
        <c:dLbls>
          <c:showLegendKey val="0"/>
          <c:showVal val="0"/>
          <c:showCatName val="0"/>
          <c:showSerName val="0"/>
          <c:showPercent val="0"/>
          <c:showBubbleSize val="0"/>
        </c:dLbls>
        <c:gapWidth val="150"/>
        <c:shape val="box"/>
        <c:axId val="910272280"/>
        <c:axId val="910273264"/>
        <c:axId val="918984888"/>
      </c:bar3DChart>
      <c:catAx>
        <c:axId val="91027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73264"/>
        <c:crosses val="autoZero"/>
        <c:auto val="1"/>
        <c:lblAlgn val="ctr"/>
        <c:lblOffset val="100"/>
        <c:noMultiLvlLbl val="0"/>
      </c:catAx>
      <c:valAx>
        <c:axId val="91027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72280"/>
        <c:crosses val="autoZero"/>
        <c:crossBetween val="between"/>
      </c:valAx>
      <c:serAx>
        <c:axId val="918984888"/>
        <c:scaling>
          <c:orientation val="minMax"/>
        </c:scaling>
        <c:delete val="1"/>
        <c:axPos val="b"/>
        <c:majorTickMark val="out"/>
        <c:minorTickMark val="none"/>
        <c:tickLblPos val="nextTo"/>
        <c:crossAx val="91027326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[Sales_dashboard.xlsx]Sheet9!PivotTable4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5.0925925925925923E-2"/>
          <c:w val="0.83953018372703414"/>
          <c:h val="0.70578630796150477"/>
        </c:manualLayout>
      </c:layout>
      <c:barChart>
        <c:barDir val="col"/>
        <c:grouping val="clustered"/>
        <c:varyColors val="0"/>
        <c:ser>
          <c:idx val="0"/>
          <c:order val="0"/>
          <c:tx>
            <c:strRef>
              <c:f>Sheet9!$B$3</c:f>
              <c:strCache>
                <c:ptCount val="1"/>
                <c:pt idx="0">
                  <c:v>Sum of Sales</c:v>
                </c:pt>
              </c:strCache>
            </c:strRef>
          </c:tx>
          <c:spPr>
            <a:solidFill>
              <a:schemeClr val="accent1"/>
            </a:solidFill>
            <a:ln>
              <a:noFill/>
            </a:ln>
            <a:effectLst/>
          </c:spPr>
          <c:invertIfNegative val="0"/>
          <c:cat>
            <c:strRef>
              <c:f>Sheet9!$A$4:$A$19</c:f>
              <c:strCache>
                <c:ptCount val="15"/>
                <c:pt idx="0">
                  <c:v>Chair</c:v>
                </c:pt>
                <c:pt idx="1">
                  <c:v>Desk</c:v>
                </c:pt>
                <c:pt idx="2">
                  <c:v>Headphones</c:v>
                </c:pt>
                <c:pt idx="3">
                  <c:v>Jacket</c:v>
                </c:pt>
                <c:pt idx="4">
                  <c:v>Jeans</c:v>
                </c:pt>
                <c:pt idx="5">
                  <c:v>Laptop</c:v>
                </c:pt>
                <c:pt idx="6">
                  <c:v>Mobile</c:v>
                </c:pt>
                <c:pt idx="7">
                  <c:v>Monitor</c:v>
                </c:pt>
                <c:pt idx="8">
                  <c:v>Shelf</c:v>
                </c:pt>
                <c:pt idx="9">
                  <c:v>Shirt</c:v>
                </c:pt>
                <c:pt idx="10">
                  <c:v>Shoes</c:v>
                </c:pt>
                <c:pt idx="11">
                  <c:v>Sofa</c:v>
                </c:pt>
                <c:pt idx="12">
                  <c:v>Sweater</c:v>
                </c:pt>
                <c:pt idx="13">
                  <c:v>Table</c:v>
                </c:pt>
                <c:pt idx="14">
                  <c:v>Tablet</c:v>
                </c:pt>
              </c:strCache>
            </c:strRef>
          </c:cat>
          <c:val>
            <c:numRef>
              <c:f>Sheet9!$B$4:$B$19</c:f>
              <c:numCache>
                <c:formatCode>General</c:formatCode>
                <c:ptCount val="15"/>
                <c:pt idx="0">
                  <c:v>920987</c:v>
                </c:pt>
                <c:pt idx="1">
                  <c:v>776426</c:v>
                </c:pt>
                <c:pt idx="2">
                  <c:v>1048778</c:v>
                </c:pt>
                <c:pt idx="3">
                  <c:v>1561373</c:v>
                </c:pt>
                <c:pt idx="4">
                  <c:v>1146734</c:v>
                </c:pt>
                <c:pt idx="5">
                  <c:v>1029174</c:v>
                </c:pt>
                <c:pt idx="6">
                  <c:v>1118187</c:v>
                </c:pt>
                <c:pt idx="7">
                  <c:v>762880</c:v>
                </c:pt>
                <c:pt idx="8">
                  <c:v>1104035</c:v>
                </c:pt>
                <c:pt idx="9">
                  <c:v>963537</c:v>
                </c:pt>
                <c:pt idx="10">
                  <c:v>1106761</c:v>
                </c:pt>
                <c:pt idx="11">
                  <c:v>1555824</c:v>
                </c:pt>
                <c:pt idx="12">
                  <c:v>698032</c:v>
                </c:pt>
                <c:pt idx="13">
                  <c:v>670555</c:v>
                </c:pt>
                <c:pt idx="14">
                  <c:v>1058006</c:v>
                </c:pt>
              </c:numCache>
            </c:numRef>
          </c:val>
          <c:extLst>
            <c:ext xmlns:c16="http://schemas.microsoft.com/office/drawing/2014/chart" uri="{C3380CC4-5D6E-409C-BE32-E72D297353CC}">
              <c16:uniqueId val="{00000000-3C4E-4F3F-A8BA-29652E3EF9B1}"/>
            </c:ext>
          </c:extLst>
        </c:ser>
        <c:ser>
          <c:idx val="1"/>
          <c:order val="1"/>
          <c:tx>
            <c:strRef>
              <c:f>Sheet9!$C$3</c:f>
              <c:strCache>
                <c:ptCount val="1"/>
                <c:pt idx="0">
                  <c:v>Sum of Profit</c:v>
                </c:pt>
              </c:strCache>
            </c:strRef>
          </c:tx>
          <c:spPr>
            <a:solidFill>
              <a:schemeClr val="accent2"/>
            </a:solidFill>
            <a:ln>
              <a:noFill/>
            </a:ln>
            <a:effectLst/>
          </c:spPr>
          <c:invertIfNegative val="0"/>
          <c:cat>
            <c:strRef>
              <c:f>Sheet9!$A$4:$A$19</c:f>
              <c:strCache>
                <c:ptCount val="15"/>
                <c:pt idx="0">
                  <c:v>Chair</c:v>
                </c:pt>
                <c:pt idx="1">
                  <c:v>Desk</c:v>
                </c:pt>
                <c:pt idx="2">
                  <c:v>Headphones</c:v>
                </c:pt>
                <c:pt idx="3">
                  <c:v>Jacket</c:v>
                </c:pt>
                <c:pt idx="4">
                  <c:v>Jeans</c:v>
                </c:pt>
                <c:pt idx="5">
                  <c:v>Laptop</c:v>
                </c:pt>
                <c:pt idx="6">
                  <c:v>Mobile</c:v>
                </c:pt>
                <c:pt idx="7">
                  <c:v>Monitor</c:v>
                </c:pt>
                <c:pt idx="8">
                  <c:v>Shelf</c:v>
                </c:pt>
                <c:pt idx="9">
                  <c:v>Shirt</c:v>
                </c:pt>
                <c:pt idx="10">
                  <c:v>Shoes</c:v>
                </c:pt>
                <c:pt idx="11">
                  <c:v>Sofa</c:v>
                </c:pt>
                <c:pt idx="12">
                  <c:v>Sweater</c:v>
                </c:pt>
                <c:pt idx="13">
                  <c:v>Table</c:v>
                </c:pt>
                <c:pt idx="14">
                  <c:v>Tablet</c:v>
                </c:pt>
              </c:strCache>
            </c:strRef>
          </c:cat>
          <c:val>
            <c:numRef>
              <c:f>Sheet9!$C$4:$C$19</c:f>
              <c:numCache>
                <c:formatCode>General</c:formatCode>
                <c:ptCount val="15"/>
                <c:pt idx="0">
                  <c:v>154805.03</c:v>
                </c:pt>
                <c:pt idx="1">
                  <c:v>112260.73</c:v>
                </c:pt>
                <c:pt idx="2">
                  <c:v>151121.53000000006</c:v>
                </c:pt>
                <c:pt idx="3">
                  <c:v>234719.71</c:v>
                </c:pt>
                <c:pt idx="4">
                  <c:v>201786.96999999997</c:v>
                </c:pt>
                <c:pt idx="5">
                  <c:v>158166.55000000002</c:v>
                </c:pt>
                <c:pt idx="6">
                  <c:v>166456.09999999998</c:v>
                </c:pt>
                <c:pt idx="7">
                  <c:v>96763.939999999973</c:v>
                </c:pt>
                <c:pt idx="8">
                  <c:v>167021.29999999999</c:v>
                </c:pt>
                <c:pt idx="9">
                  <c:v>146815.17000000001</c:v>
                </c:pt>
                <c:pt idx="10">
                  <c:v>153646.05000000002</c:v>
                </c:pt>
                <c:pt idx="11">
                  <c:v>224767.26000000004</c:v>
                </c:pt>
                <c:pt idx="12">
                  <c:v>101575.37999999999</c:v>
                </c:pt>
                <c:pt idx="13">
                  <c:v>103060.87000000002</c:v>
                </c:pt>
                <c:pt idx="14">
                  <c:v>137794.84</c:v>
                </c:pt>
              </c:numCache>
            </c:numRef>
          </c:val>
          <c:extLst>
            <c:ext xmlns:c16="http://schemas.microsoft.com/office/drawing/2014/chart" uri="{C3380CC4-5D6E-409C-BE32-E72D297353CC}">
              <c16:uniqueId val="{00000001-3C4E-4F3F-A8BA-29652E3EF9B1}"/>
            </c:ext>
          </c:extLst>
        </c:ser>
        <c:dLbls>
          <c:showLegendKey val="0"/>
          <c:showVal val="0"/>
          <c:showCatName val="0"/>
          <c:showSerName val="0"/>
          <c:showPercent val="0"/>
          <c:showBubbleSize val="0"/>
        </c:dLbls>
        <c:gapWidth val="219"/>
        <c:overlap val="-27"/>
        <c:axId val="910289336"/>
        <c:axId val="910290976"/>
      </c:barChart>
      <c:catAx>
        <c:axId val="91028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90976"/>
        <c:crosses val="autoZero"/>
        <c:auto val="1"/>
        <c:lblAlgn val="ctr"/>
        <c:lblOffset val="100"/>
        <c:noMultiLvlLbl val="0"/>
      </c:catAx>
      <c:valAx>
        <c:axId val="91029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89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dashboard.xlsx]cat-profit!PivotTable1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'cat-profit'!$B$3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'cat-profit'!$A$4:$A$7</c:f>
              <c:strCache>
                <c:ptCount val="3"/>
                <c:pt idx="0">
                  <c:v>Clothing</c:v>
                </c:pt>
                <c:pt idx="1">
                  <c:v>Electronics</c:v>
                </c:pt>
                <c:pt idx="2">
                  <c:v>Furniture</c:v>
                </c:pt>
              </c:strCache>
            </c:strRef>
          </c:cat>
          <c:val>
            <c:numRef>
              <c:f>'cat-profit'!$B$4:$B$7</c:f>
              <c:numCache>
                <c:formatCode>General</c:formatCode>
                <c:ptCount val="3"/>
                <c:pt idx="0">
                  <c:v>838543.28000000014</c:v>
                </c:pt>
                <c:pt idx="1">
                  <c:v>710302.9600000002</c:v>
                </c:pt>
                <c:pt idx="2">
                  <c:v>761915.19000000029</c:v>
                </c:pt>
              </c:numCache>
            </c:numRef>
          </c:val>
          <c:extLst>
            <c:ext xmlns:c16="http://schemas.microsoft.com/office/drawing/2014/chart" uri="{C3380CC4-5D6E-409C-BE32-E72D297353CC}">
              <c16:uniqueId val="{00000000-D334-46F9-A88C-90C646BEA378}"/>
            </c:ext>
          </c:extLst>
        </c:ser>
        <c:dLbls>
          <c:showLegendKey val="0"/>
          <c:showVal val="1"/>
          <c:showCatName val="0"/>
          <c:showSerName val="0"/>
          <c:showPercent val="0"/>
          <c:showBubbleSize val="0"/>
        </c:dLbls>
        <c:gapWidth val="150"/>
        <c:shape val="box"/>
        <c:axId val="922435728"/>
        <c:axId val="922433104"/>
        <c:axId val="0"/>
      </c:bar3DChart>
      <c:catAx>
        <c:axId val="9224357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433104"/>
        <c:crosses val="autoZero"/>
        <c:auto val="1"/>
        <c:lblAlgn val="ctr"/>
        <c:lblOffset val="100"/>
        <c:noMultiLvlLbl val="0"/>
      </c:catAx>
      <c:valAx>
        <c:axId val="922433104"/>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92243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[Sales_dashboard.xlsx]reg-sale!PivotTable2</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a:t>
            </a:r>
            <a:r>
              <a:rPr lang="en-US" baseline="0"/>
              <a:t> based on region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s>
    <c:plotArea>
      <c:layout>
        <c:manualLayout>
          <c:layoutTarget val="inner"/>
          <c:xMode val="edge"/>
          <c:yMode val="edge"/>
          <c:x val="4.8659224003684776E-2"/>
          <c:y val="0.18153159701191196"/>
          <c:w val="0.95134077599631517"/>
          <c:h val="0.726021804966687"/>
        </c:manualLayout>
      </c:layout>
      <c:doughnutChart>
        <c:varyColors val="1"/>
        <c:ser>
          <c:idx val="0"/>
          <c:order val="0"/>
          <c:tx>
            <c:strRef>
              <c:f>'reg-sale'!$B$3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E099-486F-8E6F-CFF1F4BB3BC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E099-486F-8E6F-CFF1F4BB3BC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E099-486F-8E6F-CFF1F4BB3BC9}"/>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E099-486F-8E6F-CFF1F4BB3B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'reg-sale'!$A$4:$A$8</c:f>
              <c:strCache>
                <c:ptCount val="4"/>
                <c:pt idx="0">
                  <c:v>East</c:v>
                </c:pt>
                <c:pt idx="1">
                  <c:v>North</c:v>
                </c:pt>
                <c:pt idx="2">
                  <c:v>South</c:v>
                </c:pt>
                <c:pt idx="3">
                  <c:v>West</c:v>
                </c:pt>
              </c:strCache>
            </c:strRef>
          </c:cat>
          <c:val>
            <c:numRef>
              <c:f>'reg-sale'!$B$4:$B$8</c:f>
              <c:numCache>
                <c:formatCode>General</c:formatCode>
                <c:ptCount val="4"/>
                <c:pt idx="0">
                  <c:v>3364806</c:v>
                </c:pt>
                <c:pt idx="1">
                  <c:v>3788446</c:v>
                </c:pt>
                <c:pt idx="2">
                  <c:v>4263110</c:v>
                </c:pt>
                <c:pt idx="3">
                  <c:v>4104927</c:v>
                </c:pt>
              </c:numCache>
            </c:numRef>
          </c:val>
          <c:extLst>
            <c:ext xmlns:c16="http://schemas.microsoft.com/office/drawing/2014/chart" uri="{C3380CC4-5D6E-409C-BE32-E72D297353CC}">
              <c16:uniqueId val="{00000008-E099-486F-8E6F-CFF1F4BB3BC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[Sales_dashboard.xlsx]mon-sale!PivotTable4</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Month wise</a:t>
            </a:r>
          </a:p>
        </c:rich>
      </c:tx>
      <c:layout>
        <c:manualLayout>
          <c:xMode val="edge"/>
          <c:yMode val="edge"/>
          <c:x val="0.33555555555555561"/>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'mon-sale'!$B$3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'mon-sale'!$A$4:$A$15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'mon-sale'!$B$4:$B$15</c:f>
              <c:numCache>
                <c:formatCode>General</c:formatCode>
                <c:ptCount val="12"/>
                <c:pt idx="0">
                  <c:v>1451799</c:v>
                </c:pt>
                <c:pt idx="1">
                  <c:v>1492886</c:v>
                </c:pt>
                <c:pt idx="2">
                  <c:v>1717955</c:v>
                </c:pt>
                <c:pt idx="3">
                  <c:v>1380348</c:v>
                </c:pt>
                <c:pt idx="4">
                  <c:v>1214279</c:v>
                </c:pt>
                <c:pt idx="5">
                  <c:v>1357412</c:v>
                </c:pt>
                <c:pt idx="6">
                  <c:v>1537870</c:v>
                </c:pt>
                <c:pt idx="7">
                  <c:v>826376</c:v>
                </c:pt>
                <c:pt idx="8">
                  <c:v>1079337</c:v>
                </c:pt>
                <c:pt idx="9">
                  <c:v>1359972</c:v>
                </c:pt>
                <c:pt idx="10">
                  <c:v>864531</c:v>
                </c:pt>
                <c:pt idx="11">
                  <c:v>1238524</c:v>
                </c:pt>
              </c:numCache>
            </c:numRef>
          </c:val>
          <c:smooth val="0"/>
          <c:extLst>
            <c:ext xmlns:c16="http://schemas.microsoft.com/office/drawing/2014/chart" uri="{C3380CC4-5D6E-409C-BE32-E72D297353CC}">
              <c16:uniqueId val="{00000000-757F-44D1-BDD0-E85ACCB246E3}"/>
            </c:ext>
          </c:extLst>
        </c:ser>
        <c:dLbls>
          <c:dLblPos val="ctr"/>
          <c:showLegendKey val="0"/>
          <c:showVal val="1"/>
          <c:showCatName val="0"/>
          <c:showSerName val="0"/>
          <c:showPercent val="0"/>
          <c:showBubbleSize val="0"/>
        </c:dLbls>
        <c:marker val="1"/>
        <c:smooth val="0"/>
        <c:axId val="437109800"/>
        <c:axId val="915982144"/>
      </c:lineChart>
      <c:catAx>
        <c:axId val="437109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2144"/>
        <c:crosses val="autoZero"/>
        <c:auto val="1"/>
        <c:lblAlgn val="ctr"/>
        <c:lblOffset val="100"/>
        <c:noMultiLvlLbl val="0"/>
      </c:catAx>
      <c:valAx>
        <c:axId val="915982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09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[Sales_dashboard.xlsx]reg-cat-profit!PivotTable1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8.0712788259958076E-2"/>
          <c:w val="0.85219685039370074"/>
          <c:h val="0.8416746864975212"/>
        </c:manualLayout>
      </c:layout>
      <c:barChart>
        <c:barDir val="col"/>
        <c:grouping val="stacked"/>
        <c:varyColors val="0"/>
        <c:ser>
          <c:idx val="0"/>
          <c:order val="0"/>
          <c:tx>
            <c:strRef>
              <c:f>'reg-cat-profit'!$B$3:$B$4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'reg-cat-profit'!$A$5:$A$8</c:f>
              <c:strCache>
                <c:ptCount val="3"/>
                <c:pt idx="0">
                  <c:v>Clothing</c:v>
                </c:pt>
                <c:pt idx="1">
                  <c:v>Electronics</c:v>
                </c:pt>
                <c:pt idx="2">
                  <c:v>Furniture</c:v>
                </c:pt>
              </c:strCache>
            </c:strRef>
          </c:cat>
          <c:val>
            <c:numRef>
              <c:f>'reg-cat-profit'!$B$5:$B$8</c:f>
              <c:numCache>
                <c:formatCode>General</c:formatCode>
                <c:ptCount val="3"/>
                <c:pt idx="0">
                  <c:v>186672.59000000008</c:v>
                </c:pt>
                <c:pt idx="1">
                  <c:v>125862.39999999998</c:v>
                </c:pt>
                <c:pt idx="2">
                  <c:v>162969.07000000004</c:v>
                </c:pt>
              </c:numCache>
            </c:numRef>
          </c:val>
          <c:extLst>
            <c:ext xmlns:c16="http://schemas.microsoft.com/office/drawing/2014/chart" uri="{C3380CC4-5D6E-409C-BE32-E72D297353CC}">
              <c16:uniqueId val="{00000000-AC42-4F1C-8CAA-684E42D66229}"/>
            </c:ext>
          </c:extLst>
        </c:ser>
        <c:ser>
          <c:idx val="1"/>
          <c:order val="1"/>
          <c:tx>
            <c:strRef>
              <c:f>'reg-cat-profit'!$C$3:$C$4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'reg-cat-profit'!$A$5:$A$8</c:f>
              <c:strCache>
                <c:ptCount val="3"/>
                <c:pt idx="0">
                  <c:v>Clothing</c:v>
                </c:pt>
                <c:pt idx="1">
                  <c:v>Electronics</c:v>
                </c:pt>
                <c:pt idx="2">
                  <c:v>Furniture</c:v>
                </c:pt>
              </c:strCache>
            </c:strRef>
          </c:cat>
          <c:val>
            <c:numRef>
              <c:f>'reg-cat-profit'!$C$5:$C$8</c:f>
              <c:numCache>
                <c:formatCode>General</c:formatCode>
                <c:ptCount val="3"/>
                <c:pt idx="0">
                  <c:v>239456.82999999996</c:v>
                </c:pt>
                <c:pt idx="1">
                  <c:v>163619.92999999996</c:v>
                </c:pt>
                <c:pt idx="2">
                  <c:v>168519.06</c:v>
                </c:pt>
              </c:numCache>
            </c:numRef>
          </c:val>
          <c:extLst>
            <c:ext xmlns:c16="http://schemas.microsoft.com/office/drawing/2014/chart" uri="{C3380CC4-5D6E-409C-BE32-E72D297353CC}">
              <c16:uniqueId val="{00000001-AC42-4F1C-8CAA-684E42D66229}"/>
            </c:ext>
          </c:extLst>
        </c:ser>
        <c:ser>
          <c:idx val="2"/>
          <c:order val="2"/>
          <c:tx>
            <c:strRef>
              <c:f>'reg-cat-profit'!$D$3:$D$4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'reg-cat-profit'!$A$5:$A$8</c:f>
              <c:strCache>
                <c:ptCount val="3"/>
                <c:pt idx="0">
                  <c:v>Clothing</c:v>
                </c:pt>
                <c:pt idx="1">
                  <c:v>Electronics</c:v>
                </c:pt>
                <c:pt idx="2">
                  <c:v>Furniture</c:v>
                </c:pt>
              </c:strCache>
            </c:strRef>
          </c:cat>
          <c:val>
            <c:numRef>
              <c:f>'reg-cat-profit'!$D$5:$D$8</c:f>
              <c:numCache>
                <c:formatCode>General</c:formatCode>
                <c:ptCount val="3"/>
                <c:pt idx="0">
                  <c:v>212636.47999999998</c:v>
                </c:pt>
                <c:pt idx="1">
                  <c:v>191005.58000000002</c:v>
                </c:pt>
                <c:pt idx="2">
                  <c:v>224815.01</c:v>
                </c:pt>
              </c:numCache>
            </c:numRef>
          </c:val>
          <c:extLst>
            <c:ext xmlns:c16="http://schemas.microsoft.com/office/drawing/2014/chart" uri="{C3380CC4-5D6E-409C-BE32-E72D297353CC}">
              <c16:uniqueId val="{00000002-AC42-4F1C-8CAA-684E42D66229}"/>
            </c:ext>
          </c:extLst>
        </c:ser>
        <c:ser>
          <c:idx val="3"/>
          <c:order val="3"/>
          <c:tx>
            <c:strRef>
              <c:f>'reg-cat-profit'!$E$3:$E$4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'reg-cat-profit'!$A$5:$A$8</c:f>
              <c:strCache>
                <c:ptCount val="3"/>
                <c:pt idx="0">
                  <c:v>Clothing</c:v>
                </c:pt>
                <c:pt idx="1">
                  <c:v>Electronics</c:v>
                </c:pt>
                <c:pt idx="2">
                  <c:v>Furniture</c:v>
                </c:pt>
              </c:strCache>
            </c:strRef>
          </c:cat>
          <c:val>
            <c:numRef>
              <c:f>'reg-cat-profit'!$E$5:$E$8</c:f>
              <c:numCache>
                <c:formatCode>General</c:formatCode>
                <c:ptCount val="3"/>
                <c:pt idx="0">
                  <c:v>199777.38000000006</c:v>
                </c:pt>
                <c:pt idx="1">
                  <c:v>229815.05</c:v>
                </c:pt>
                <c:pt idx="2">
                  <c:v>205612.05000000008</c:v>
                </c:pt>
              </c:numCache>
            </c:numRef>
          </c:val>
          <c:extLst>
            <c:ext xmlns:c16="http://schemas.microsoft.com/office/drawing/2014/chart" uri="{C3380CC4-5D6E-409C-BE32-E72D297353CC}">
              <c16:uniqueId val="{00000003-AC42-4F1C-8CAA-684E42D66229}"/>
            </c:ext>
          </c:extLst>
        </c:ser>
        <c:dLbls>
          <c:dLblPos val="ctr"/>
          <c:showLegendKey val="0"/>
          <c:showVal val="1"/>
          <c:showCatName val="0"/>
          <c:showSerName val="0"/>
          <c:showPercent val="0"/>
          <c:showBubbleSize val="0"/>
        </c:dLbls>
        <c:gapWidth val="150"/>
        <c:overlap val="100"/>
        <c:axId val="910262440"/>
        <c:axId val="910270968"/>
      </c:barChart>
      <c:catAx>
        <c:axId val="9102624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10270968"/>
        <c:crosses val="autoZero"/>
        <c:auto val="1"/>
        <c:lblAlgn val="ctr"/>
        <c:lblOffset val="100"/>
        <c:noMultiLvlLbl val="0"/>
      </c:catAx>
      <c:valAx>
        <c:axId val="91027096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1026244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[Sales_dashboard.xlsx]pdt-sale!PivotTable2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wise Profit</a:t>
            </a:r>
          </a:p>
        </c:rich>
      </c:tx>
      <c:layout>
        <c:manualLayout>
          <c:xMode val="edge"/>
          <c:yMode val="edge"/>
          <c:x val="0.4445833333333333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41922572178478"/>
          <c:y val="0.16763841807909607"/>
          <c:w val="0.65001137357830274"/>
          <c:h val="0.72751065438854046"/>
        </c:manualLayout>
      </c:layout>
      <c:bar3DChart>
        <c:barDir val="bar"/>
        <c:grouping val="clustered"/>
        <c:varyColors val="0"/>
        <c:ser>
          <c:idx val="0"/>
          <c:order val="0"/>
          <c:tx>
            <c:strRef>
              <c:f>'pdt-sale'!$B$3</c:f>
              <c:strCache>
                <c:ptCount val="1"/>
                <c:pt idx="0">
                  <c:v>Total</c:v>
                </c:pt>
              </c:strCache>
            </c:strRef>
          </c:tx>
          <c:spPr>
            <a:solidFill>
              <a:schemeClr val="accent1"/>
            </a:solidFill>
            <a:ln>
              <a:noFill/>
            </a:ln>
            <a:effectLst/>
            <a:sp3d/>
          </c:spPr>
          <c:invertIfNegative val="0"/>
          <c:cat>
            <c:strRef>
              <c:f>'pdt-sale'!$A$4:$A$18</c:f>
              <c:strCache>
                <c:ptCount val="15"/>
                <c:pt idx="0">
                  <c:v>Chair</c:v>
                </c:pt>
                <c:pt idx="1">
                  <c:v>Desk</c:v>
                </c:pt>
                <c:pt idx="2">
                  <c:v>Headphones</c:v>
                </c:pt>
                <c:pt idx="3">
                  <c:v>Jacket</c:v>
                </c:pt>
                <c:pt idx="4">
                  <c:v>Jeans</c:v>
                </c:pt>
                <c:pt idx="5">
                  <c:v>Laptop</c:v>
                </c:pt>
                <c:pt idx="6">
                  <c:v>Mobile</c:v>
                </c:pt>
                <c:pt idx="7">
                  <c:v>Monitor</c:v>
                </c:pt>
                <c:pt idx="8">
                  <c:v>Shelf</c:v>
                </c:pt>
                <c:pt idx="9">
                  <c:v>Shirt</c:v>
                </c:pt>
                <c:pt idx="10">
                  <c:v>Shoes</c:v>
                </c:pt>
                <c:pt idx="11">
                  <c:v>Sofa</c:v>
                </c:pt>
                <c:pt idx="12">
                  <c:v>Sweater</c:v>
                </c:pt>
                <c:pt idx="13">
                  <c:v>Table</c:v>
                </c:pt>
                <c:pt idx="14">
                  <c:v>Tablet</c:v>
                </c:pt>
              </c:strCache>
            </c:strRef>
          </c:cat>
          <c:val>
            <c:numRef>
              <c:f>'pdt-sale'!$B$4:$B$18</c:f>
              <c:numCache>
                <c:formatCode>General</c:formatCode>
                <c:ptCount val="15"/>
                <c:pt idx="0">
                  <c:v>154805.03</c:v>
                </c:pt>
                <c:pt idx="1">
                  <c:v>112260.73</c:v>
                </c:pt>
                <c:pt idx="2">
                  <c:v>151121.53000000006</c:v>
                </c:pt>
                <c:pt idx="3">
                  <c:v>234719.71</c:v>
                </c:pt>
                <c:pt idx="4">
                  <c:v>201786.96999999997</c:v>
                </c:pt>
                <c:pt idx="5">
                  <c:v>158166.55000000002</c:v>
                </c:pt>
                <c:pt idx="6">
                  <c:v>166456.09999999998</c:v>
                </c:pt>
                <c:pt idx="7">
                  <c:v>96763.939999999973</c:v>
                </c:pt>
                <c:pt idx="8">
                  <c:v>167021.29999999999</c:v>
                </c:pt>
                <c:pt idx="9">
                  <c:v>146815.17000000001</c:v>
                </c:pt>
                <c:pt idx="10">
                  <c:v>153646.05000000002</c:v>
                </c:pt>
                <c:pt idx="11">
                  <c:v>224767.26000000004</c:v>
                </c:pt>
                <c:pt idx="12">
                  <c:v>101575.37999999999</c:v>
                </c:pt>
                <c:pt idx="13">
                  <c:v>103060.87000000002</c:v>
                </c:pt>
                <c:pt idx="14">
                  <c:v>137794.84</c:v>
                </c:pt>
              </c:numCache>
            </c:numRef>
          </c:val>
          <c:extLst>
            <c:ext xmlns:c16="http://schemas.microsoft.com/office/drawing/2014/chart" uri="{C3380CC4-5D6E-409C-BE32-E72D297353CC}">
              <c16:uniqueId val="{00000000-5F03-4945-9737-5ECEC7F2BD4A}"/>
            </c:ext>
          </c:extLst>
        </c:ser>
        <c:dLbls>
          <c:showLegendKey val="0"/>
          <c:showVal val="0"/>
          <c:showCatName val="0"/>
          <c:showSerName val="0"/>
          <c:showPercent val="0"/>
          <c:showBubbleSize val="0"/>
        </c:dLbls>
        <c:gapWidth val="150"/>
        <c:shape val="box"/>
        <c:axId val="559033376"/>
        <c:axId val="559035016"/>
        <c:axId val="0"/>
      </c:bar3DChart>
      <c:catAx>
        <c:axId val="55903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35016"/>
        <c:crosses val="autoZero"/>
        <c:auto val="1"/>
        <c:lblAlgn val="ctr"/>
        <c:lblOffset val="100"/>
        <c:noMultiLvlLbl val="0"/>
      </c:catAx>
      <c:valAx>
        <c:axId val="559035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03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[Sales_dashboard.xlsx]Sheet9!PivotTable4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7.407407407407407E-2"/>
          <c:w val="0.83953018372703414"/>
          <c:h val="0.70578630796150477"/>
        </c:manualLayout>
      </c:layout>
      <c:barChart>
        <c:barDir val="col"/>
        <c:grouping val="clustered"/>
        <c:varyColors val="0"/>
        <c:ser>
          <c:idx val="0"/>
          <c:order val="0"/>
          <c:tx>
            <c:strRef>
              <c:f>Sheet9!$B$3</c:f>
              <c:strCache>
                <c:ptCount val="1"/>
                <c:pt idx="0">
                  <c:v>Sum of Sales</c:v>
                </c:pt>
              </c:strCache>
            </c:strRef>
          </c:tx>
          <c:spPr>
            <a:solidFill>
              <a:schemeClr val="accent5">
                <a:lumMod val="50000"/>
              </a:schemeClr>
            </a:solidFill>
            <a:ln>
              <a:noFill/>
            </a:ln>
            <a:effectLst/>
          </c:spPr>
          <c:invertIfNegative val="0"/>
          <c:cat>
            <c:strRef>
              <c:f>Sheet9!$A$4:$A$19</c:f>
              <c:strCache>
                <c:ptCount val="15"/>
                <c:pt idx="0">
                  <c:v>Chair</c:v>
                </c:pt>
                <c:pt idx="1">
                  <c:v>Desk</c:v>
                </c:pt>
                <c:pt idx="2">
                  <c:v>Headphones</c:v>
                </c:pt>
                <c:pt idx="3">
                  <c:v>Jacket</c:v>
                </c:pt>
                <c:pt idx="4">
                  <c:v>Jeans</c:v>
                </c:pt>
                <c:pt idx="5">
                  <c:v>Laptop</c:v>
                </c:pt>
                <c:pt idx="6">
                  <c:v>Mobile</c:v>
                </c:pt>
                <c:pt idx="7">
                  <c:v>Monitor</c:v>
                </c:pt>
                <c:pt idx="8">
                  <c:v>Shelf</c:v>
                </c:pt>
                <c:pt idx="9">
                  <c:v>Shirt</c:v>
                </c:pt>
                <c:pt idx="10">
                  <c:v>Shoes</c:v>
                </c:pt>
                <c:pt idx="11">
                  <c:v>Sofa</c:v>
                </c:pt>
                <c:pt idx="12">
                  <c:v>Sweater</c:v>
                </c:pt>
                <c:pt idx="13">
                  <c:v>Table</c:v>
                </c:pt>
                <c:pt idx="14">
                  <c:v>Tablet</c:v>
                </c:pt>
              </c:strCache>
            </c:strRef>
          </c:cat>
          <c:val>
            <c:numRef>
              <c:f>Sheet9!$B$4:$B$19</c:f>
              <c:numCache>
                <c:formatCode>General</c:formatCode>
                <c:ptCount val="15"/>
                <c:pt idx="0">
                  <c:v>920987</c:v>
                </c:pt>
                <c:pt idx="1">
                  <c:v>776426</c:v>
                </c:pt>
                <c:pt idx="2">
                  <c:v>1048778</c:v>
                </c:pt>
                <c:pt idx="3">
                  <c:v>1561373</c:v>
                </c:pt>
                <c:pt idx="4">
                  <c:v>1146734</c:v>
                </c:pt>
                <c:pt idx="5">
                  <c:v>1029174</c:v>
                </c:pt>
                <c:pt idx="6">
                  <c:v>1118187</c:v>
                </c:pt>
                <c:pt idx="7">
                  <c:v>762880</c:v>
                </c:pt>
                <c:pt idx="8">
                  <c:v>1104035</c:v>
                </c:pt>
                <c:pt idx="9">
                  <c:v>963537</c:v>
                </c:pt>
                <c:pt idx="10">
                  <c:v>1106761</c:v>
                </c:pt>
                <c:pt idx="11">
                  <c:v>1555824</c:v>
                </c:pt>
                <c:pt idx="12">
                  <c:v>698032</c:v>
                </c:pt>
                <c:pt idx="13">
                  <c:v>670555</c:v>
                </c:pt>
                <c:pt idx="14">
                  <c:v>1058006</c:v>
                </c:pt>
              </c:numCache>
            </c:numRef>
          </c:val>
          <c:extLst>
            <c:ext xmlns:c16="http://schemas.microsoft.com/office/drawing/2014/chart" uri="{C3380CC4-5D6E-409C-BE32-E72D297353CC}">
              <c16:uniqueId val="{00000000-F5D3-4BA8-9225-A16474F877EF}"/>
            </c:ext>
          </c:extLst>
        </c:ser>
        <c:ser>
          <c:idx val="1"/>
          <c:order val="1"/>
          <c:tx>
            <c:strRef>
              <c:f>Sheet9!$C$3</c:f>
              <c:strCache>
                <c:ptCount val="1"/>
                <c:pt idx="0">
                  <c:v>Sum of Profit</c:v>
                </c:pt>
              </c:strCache>
            </c:strRef>
          </c:tx>
          <c:spPr>
            <a:solidFill>
              <a:schemeClr val="accent1">
                <a:lumMod val="40000"/>
                <a:lumOff val="60000"/>
              </a:schemeClr>
            </a:solidFill>
            <a:ln>
              <a:noFill/>
            </a:ln>
            <a:effectLst/>
          </c:spPr>
          <c:invertIfNegative val="0"/>
          <c:cat>
            <c:strRef>
              <c:f>Sheet9!$A$4:$A$19</c:f>
              <c:strCache>
                <c:ptCount val="15"/>
                <c:pt idx="0">
                  <c:v>Chair</c:v>
                </c:pt>
                <c:pt idx="1">
                  <c:v>Desk</c:v>
                </c:pt>
                <c:pt idx="2">
                  <c:v>Headphones</c:v>
                </c:pt>
                <c:pt idx="3">
                  <c:v>Jacket</c:v>
                </c:pt>
                <c:pt idx="4">
                  <c:v>Jeans</c:v>
                </c:pt>
                <c:pt idx="5">
                  <c:v>Laptop</c:v>
                </c:pt>
                <c:pt idx="6">
                  <c:v>Mobile</c:v>
                </c:pt>
                <c:pt idx="7">
                  <c:v>Monitor</c:v>
                </c:pt>
                <c:pt idx="8">
                  <c:v>Shelf</c:v>
                </c:pt>
                <c:pt idx="9">
                  <c:v>Shirt</c:v>
                </c:pt>
                <c:pt idx="10">
                  <c:v>Shoes</c:v>
                </c:pt>
                <c:pt idx="11">
                  <c:v>Sofa</c:v>
                </c:pt>
                <c:pt idx="12">
                  <c:v>Sweater</c:v>
                </c:pt>
                <c:pt idx="13">
                  <c:v>Table</c:v>
                </c:pt>
                <c:pt idx="14">
                  <c:v>Tablet</c:v>
                </c:pt>
              </c:strCache>
            </c:strRef>
          </c:cat>
          <c:val>
            <c:numRef>
              <c:f>Sheet9!$C$4:$C$19</c:f>
              <c:numCache>
                <c:formatCode>General</c:formatCode>
                <c:ptCount val="15"/>
                <c:pt idx="0">
                  <c:v>154805.03</c:v>
                </c:pt>
                <c:pt idx="1">
                  <c:v>112260.73</c:v>
                </c:pt>
                <c:pt idx="2">
                  <c:v>151121.53000000006</c:v>
                </c:pt>
                <c:pt idx="3">
                  <c:v>234719.71</c:v>
                </c:pt>
                <c:pt idx="4">
                  <c:v>201786.96999999997</c:v>
                </c:pt>
                <c:pt idx="5">
                  <c:v>158166.55000000002</c:v>
                </c:pt>
                <c:pt idx="6">
                  <c:v>166456.09999999998</c:v>
                </c:pt>
                <c:pt idx="7">
                  <c:v>96763.939999999973</c:v>
                </c:pt>
                <c:pt idx="8">
                  <c:v>167021.29999999999</c:v>
                </c:pt>
                <c:pt idx="9">
                  <c:v>146815.17000000001</c:v>
                </c:pt>
                <c:pt idx="10">
                  <c:v>153646.05000000002</c:v>
                </c:pt>
                <c:pt idx="11">
                  <c:v>224767.26000000004</c:v>
                </c:pt>
                <c:pt idx="12">
                  <c:v>101575.37999999999</c:v>
                </c:pt>
                <c:pt idx="13">
                  <c:v>103060.87000000002</c:v>
                </c:pt>
                <c:pt idx="14">
                  <c:v>137794.84</c:v>
                </c:pt>
              </c:numCache>
            </c:numRef>
          </c:val>
          <c:extLst>
            <c:ext xmlns:c16="http://schemas.microsoft.com/office/drawing/2014/chart" uri="{C3380CC4-5D6E-409C-BE32-E72D297353CC}">
              <c16:uniqueId val="{00000001-F5D3-4BA8-9225-A16474F877EF}"/>
            </c:ext>
          </c:extLst>
        </c:ser>
        <c:dLbls>
          <c:showLegendKey val="0"/>
          <c:showVal val="0"/>
          <c:showCatName val="0"/>
          <c:showSerName val="0"/>
          <c:showPercent val="0"/>
          <c:showBubbleSize val="0"/>
        </c:dLbls>
        <c:gapWidth val="219"/>
        <c:overlap val="-27"/>
        <c:axId val="910289336"/>
        <c:axId val="910290976"/>
      </c:barChart>
      <c:catAx>
        <c:axId val="91028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90976"/>
        <c:crosses val="autoZero"/>
        <c:auto val="1"/>
        <c:lblAlgn val="ctr"/>
        <c:lblOffset val="100"/>
        <c:noMultiLvlLbl val="0"/>
      </c:catAx>
      <c:valAx>
        <c:axId val="91029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89336"/>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[Sales_dashboard.xlsx]cust-sale!PivotTable3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customer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375699912510936"/>
          <c:y val="0.12284367679846471"/>
          <c:w val="0.85219685039370074"/>
          <c:h val="0.57465441819772534"/>
        </c:manualLayout>
      </c:layout>
      <c:bar3DChart>
        <c:barDir val="col"/>
        <c:grouping val="standard"/>
        <c:varyColors val="0"/>
        <c:ser>
          <c:idx val="0"/>
          <c:order val="0"/>
          <c:tx>
            <c:strRef>
              <c:f>'cust-sale'!$B$3</c:f>
              <c:strCache>
                <c:ptCount val="1"/>
                <c:pt idx="0">
                  <c:v>Total</c:v>
                </c:pt>
              </c:strCache>
            </c:strRef>
          </c:tx>
          <c:spPr>
            <a:solidFill>
              <a:schemeClr val="accent1"/>
            </a:solidFill>
            <a:ln>
              <a:noFill/>
            </a:ln>
            <a:effectLst/>
            <a:sp3d/>
          </c:spPr>
          <c:invertIfNegative val="0"/>
          <c:cat>
            <c:strRef>
              <c:f>'cust-sale'!$A$4:$A$14</c:f>
              <c:strCache>
                <c:ptCount val="10"/>
                <c:pt idx="0">
                  <c:v>Customer_2</c:v>
                </c:pt>
                <c:pt idx="1">
                  <c:v>Customer_20</c:v>
                </c:pt>
                <c:pt idx="2">
                  <c:v>Customer_26</c:v>
                </c:pt>
                <c:pt idx="3">
                  <c:v>Customer_27</c:v>
                </c:pt>
                <c:pt idx="4">
                  <c:v>Customer_51</c:v>
                </c:pt>
                <c:pt idx="5">
                  <c:v>Customer_60</c:v>
                </c:pt>
                <c:pt idx="6">
                  <c:v>Customer_63</c:v>
                </c:pt>
                <c:pt idx="7">
                  <c:v>Customer_7</c:v>
                </c:pt>
                <c:pt idx="8">
                  <c:v>Customer_76</c:v>
                </c:pt>
                <c:pt idx="9">
                  <c:v>Customer_89</c:v>
                </c:pt>
              </c:strCache>
            </c:strRef>
          </c:cat>
          <c:val>
            <c:numRef>
              <c:f>'cust-sale'!$B$4:$B$14</c:f>
              <c:numCache>
                <c:formatCode>General</c:formatCode>
                <c:ptCount val="10"/>
                <c:pt idx="0">
                  <c:v>277736</c:v>
                </c:pt>
                <c:pt idx="1">
                  <c:v>335316</c:v>
                </c:pt>
                <c:pt idx="2">
                  <c:v>342037</c:v>
                </c:pt>
                <c:pt idx="3">
                  <c:v>330848</c:v>
                </c:pt>
                <c:pt idx="4">
                  <c:v>317871</c:v>
                </c:pt>
                <c:pt idx="5">
                  <c:v>271175</c:v>
                </c:pt>
                <c:pt idx="6">
                  <c:v>333760</c:v>
                </c:pt>
                <c:pt idx="7">
                  <c:v>295070</c:v>
                </c:pt>
                <c:pt idx="8">
                  <c:v>307615</c:v>
                </c:pt>
                <c:pt idx="9">
                  <c:v>336874</c:v>
                </c:pt>
              </c:numCache>
            </c:numRef>
          </c:val>
          <c:extLst>
            <c:ext xmlns:c16="http://schemas.microsoft.com/office/drawing/2014/chart" uri="{C3380CC4-5D6E-409C-BE32-E72D297353CC}">
              <c16:uniqueId val="{00000000-93BD-4546-AA31-DF03B33B4BC2}"/>
            </c:ext>
          </c:extLst>
        </c:ser>
        <c:dLbls>
          <c:showLegendKey val="0"/>
          <c:showVal val="0"/>
          <c:showCatName val="0"/>
          <c:showSerName val="0"/>
          <c:showPercent val="0"/>
          <c:showBubbleSize val="0"/>
        </c:dLbls>
        <c:gapWidth val="150"/>
        <c:shape val="box"/>
        <c:axId val="910272280"/>
        <c:axId val="910273264"/>
        <c:axId val="918984888"/>
      </c:bar3DChart>
      <c:catAx>
        <c:axId val="910272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73264"/>
        <c:crosses val="autoZero"/>
        <c:auto val="1"/>
        <c:lblAlgn val="ctr"/>
        <c:lblOffset val="100"/>
        <c:noMultiLvlLbl val="0"/>
      </c:catAx>
      <c:valAx>
        <c:axId val="91027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72280"/>
        <c:crosses val="autoZero"/>
        <c:crossBetween val="between"/>
      </c:valAx>
      <c:serAx>
        <c:axId val="918984888"/>
        <c:scaling>
          <c:orientation val="minMax"/>
        </c:scaling>
        <c:delete val="1"/>
        <c:axPos val="b"/>
        <c:majorTickMark val="out"/>
        <c:minorTickMark val="none"/>
        <c:tickLblPos val="nextTo"/>
        <c:crossAx val="91027326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9.svg"/><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image" Target="../media/image8.png"/><Relationship Id="rId5" Type="http://schemas.openxmlformats.org/officeDocument/2006/relationships/chart" Target="../charts/chart11.xml"/><Relationship Id="rId10" Type="http://schemas.openxmlformats.org/officeDocument/2006/relationships/image" Target="../media/image7.svg"/><Relationship Id="rId4" Type="http://schemas.openxmlformats.org/officeDocument/2006/relationships/chart" Target="../charts/chart10.xml"/><Relationship Id="rId9"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xdr:col>
      <xdr:colOff>47625</xdr:colOff>
      <xdr:row>10</xdr:row>
      <xdr:rowOff>138112</xdr:rowOff>
    </xdr:from>
    <xdr:to>
      <xdr:col>11</xdr:col>
      <xdr:colOff>352425</xdr:colOff>
      <xdr:row>25</xdr:row>
      <xdr:rowOff>23812</xdr:rowOff>
    </xdr:to>
    <xdr:graphicFrame macro="">
      <xdr:nvGraphicFramePr>
        <xdr:cNvPr id="2" name="Chart 1">
          <a:extLst>
            <a:ext uri="{FF2B5EF4-FFF2-40B4-BE49-F238E27FC236}">
              <a16:creationId xmlns:a16="http://schemas.microsoft.com/office/drawing/2014/main" id="{42BE3034-6F94-42AF-AE9A-3588A2D19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142875</xdr:colOff>
      <xdr:row>5</xdr:row>
      <xdr:rowOff>114300</xdr:rowOff>
    </xdr:from>
    <xdr:to>
      <xdr:col>11</xdr:col>
      <xdr:colOff>142875</xdr:colOff>
      <xdr:row>13</xdr:row>
      <xdr:rowOff>28575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AE7CC89-2ABE-4827-A09A-782C7A9510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86400" y="106680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514350</xdr:colOff>
      <xdr:row>12</xdr:row>
      <xdr:rowOff>61912</xdr:rowOff>
    </xdr:from>
    <xdr:to>
      <xdr:col>7</xdr:col>
      <xdr:colOff>352425</xdr:colOff>
      <xdr:row>26</xdr:row>
      <xdr:rowOff>138112</xdr:rowOff>
    </xdr:to>
    <xdr:graphicFrame macro="">
      <xdr:nvGraphicFramePr>
        <xdr:cNvPr id="4" name="Chart 3">
          <a:extLst>
            <a:ext uri="{FF2B5EF4-FFF2-40B4-BE49-F238E27FC236}">
              <a16:creationId xmlns:a16="http://schemas.microsoft.com/office/drawing/2014/main" id="{37692325-AE68-49D4-8919-738F3AE2B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609600</xdr:colOff>
      <xdr:row>3</xdr:row>
      <xdr:rowOff>71437</xdr:rowOff>
    </xdr:from>
    <xdr:to>
      <xdr:col>10</xdr:col>
      <xdr:colOff>28575</xdr:colOff>
      <xdr:row>17</xdr:row>
      <xdr:rowOff>147637</xdr:rowOff>
    </xdr:to>
    <xdr:graphicFrame macro="">
      <xdr:nvGraphicFramePr>
        <xdr:cNvPr id="2" name="Chart 1">
          <a:extLst>
            <a:ext uri="{FF2B5EF4-FFF2-40B4-BE49-F238E27FC236}">
              <a16:creationId xmlns:a16="http://schemas.microsoft.com/office/drawing/2014/main" id="{3EF56728-5C33-47FF-83C4-E5E1D3D98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409575</xdr:colOff>
      <xdr:row>6</xdr:row>
      <xdr:rowOff>161925</xdr:rowOff>
    </xdr:from>
    <xdr:to>
      <xdr:col>14</xdr:col>
      <xdr:colOff>409575</xdr:colOff>
      <xdr:row>20</xdr:row>
      <xdr:rowOff>19050</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EA61BC02-EC9C-48E4-B2B6-8EA88B8E1E6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858125" y="1304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381000</xdr:colOff>
      <xdr:row>4</xdr:row>
      <xdr:rowOff>71437</xdr:rowOff>
    </xdr:from>
    <xdr:to>
      <xdr:col>15</xdr:col>
      <xdr:colOff>76200</xdr:colOff>
      <xdr:row>18</xdr:row>
      <xdr:rowOff>147637</xdr:rowOff>
    </xdr:to>
    <xdr:graphicFrame macro="">
      <xdr:nvGraphicFramePr>
        <xdr:cNvPr id="3" name="Chart 2">
          <a:extLst>
            <a:ext uri="{FF2B5EF4-FFF2-40B4-BE49-F238E27FC236}">
              <a16:creationId xmlns:a16="http://schemas.microsoft.com/office/drawing/2014/main" id="{ACC63EAD-CFCE-4F2F-9659-B27CAD915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104775</xdr:colOff>
      <xdr:row>20</xdr:row>
      <xdr:rowOff>9525</xdr:rowOff>
    </xdr:from>
    <xdr:to>
      <xdr:col>10</xdr:col>
      <xdr:colOff>104775</xdr:colOff>
      <xdr:row>27</xdr:row>
      <xdr:rowOff>114300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C671B021-07A6-465E-B88B-B628C66A1EF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429250" y="381952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638175</xdr:colOff>
      <xdr:row>4</xdr:row>
      <xdr:rowOff>128587</xdr:rowOff>
    </xdr:from>
    <xdr:to>
      <xdr:col>10</xdr:col>
      <xdr:colOff>28575</xdr:colOff>
      <xdr:row>19</xdr:row>
      <xdr:rowOff>128587</xdr:rowOff>
    </xdr:to>
    <xdr:graphicFrame macro="">
      <xdr:nvGraphicFramePr>
        <xdr:cNvPr id="2" name="Chart 1">
          <a:extLst>
            <a:ext uri="{FF2B5EF4-FFF2-40B4-BE49-F238E27FC236}">
              <a16:creationId xmlns:a16="http://schemas.microsoft.com/office/drawing/2014/main" id="{A4D2335D-58C6-4B10-8E10-23A60A5DB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xdr:colOff>
      <xdr:row>11</xdr:row>
      <xdr:rowOff>161925</xdr:rowOff>
    </xdr:from>
    <xdr:to>
      <xdr:col>15</xdr:col>
      <xdr:colOff>9525</xdr:colOff>
      <xdr:row>25</xdr:row>
      <xdr:rowOff>66675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C807952B-7A1E-4875-8BA7-904AEB14901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24825" y="2257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142875</xdr:colOff>
      <xdr:row>7</xdr:row>
      <xdr:rowOff>42862</xdr:rowOff>
    </xdr:from>
    <xdr:to>
      <xdr:col>11</xdr:col>
      <xdr:colOff>447675</xdr:colOff>
      <xdr:row>21</xdr:row>
      <xdr:rowOff>119062</xdr:rowOff>
    </xdr:to>
    <xdr:graphicFrame macro="">
      <xdr:nvGraphicFramePr>
        <xdr:cNvPr id="2" name="Chart 1">
          <a:extLst>
            <a:ext uri="{FF2B5EF4-FFF2-40B4-BE49-F238E27FC236}">
              <a16:creationId xmlns:a16="http://schemas.microsoft.com/office/drawing/2014/main" id="{1093773C-265D-4125-A6BE-DA1E0BE2D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352425</xdr:colOff>
      <xdr:row>4</xdr:row>
      <xdr:rowOff>71437</xdr:rowOff>
    </xdr:from>
    <xdr:to>
      <xdr:col>12</xdr:col>
      <xdr:colOff>47625</xdr:colOff>
      <xdr:row>18</xdr:row>
      <xdr:rowOff>147637</xdr:rowOff>
    </xdr:to>
    <xdr:graphicFrame macro="">
      <xdr:nvGraphicFramePr>
        <xdr:cNvPr id="2" name="Chart 1">
          <a:extLst>
            <a:ext uri="{FF2B5EF4-FFF2-40B4-BE49-F238E27FC236}">
              <a16:creationId xmlns:a16="http://schemas.microsoft.com/office/drawing/2014/main" id="{676E1885-8E62-4F99-BB2D-AC7372F26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30</xdr:col>
      <xdr:colOff>342900</xdr:colOff>
      <xdr:row>43</xdr:row>
      <xdr:rowOff>57854</xdr:rowOff>
    </xdr:to>
    <xdr:pic>
      <xdr:nvPicPr>
        <xdr:cNvPr id="6" name="Picture 5">
          <a:extLst>
            <a:ext uri="{FF2B5EF4-FFF2-40B4-BE49-F238E27FC236}">
              <a16:creationId xmlns:a16="http://schemas.microsoft.com/office/drawing/2014/main" id="{AD22D34F-1FDA-4101-8C13-A73DC78A185E}"/>
            </a:ext>
          </a:extLst>
        </xdr:cNvPr>
        <xdr:cNvPicPr>
          <a:picLocks noChangeAspect="1"/>
        </xdr:cNvPicPr>
      </xdr:nvPicPr>
      <xdr:blipFill>
        <a:blip xmlns:r="http://schemas.openxmlformats.org/officeDocument/2006/relationships" r:embed="rId1"/>
        <a:stretch>
          <a:fillRect/>
        </a:stretch>
      </xdr:blipFill>
      <xdr:spPr>
        <a:xfrm>
          <a:off x="9525" y="0"/>
          <a:ext cx="18621375" cy="8249354"/>
        </a:xfrm>
        <a:prstGeom prst="rect">
          <a:avLst/>
        </a:prstGeom>
      </xdr:spPr>
    </xdr:pic>
    <xdr:clientData/>
  </xdr:twoCellAnchor>
  <xdr:twoCellAnchor>
    <xdr:from>
      <xdr:col>12</xdr:col>
      <xdr:colOff>33336</xdr:colOff>
      <xdr:row>0</xdr:row>
      <xdr:rowOff>104775</xdr:rowOff>
    </xdr:from>
    <xdr:to>
      <xdr:col>20</xdr:col>
      <xdr:colOff>200025</xdr:colOff>
      <xdr:row>4</xdr:row>
      <xdr:rowOff>171450</xdr:rowOff>
    </xdr:to>
    <xdr:sp macro="" textlink="">
      <xdr:nvSpPr>
        <xdr:cNvPr id="7" name="TextBox 6">
          <a:extLst>
            <a:ext uri="{FF2B5EF4-FFF2-40B4-BE49-F238E27FC236}">
              <a16:creationId xmlns:a16="http://schemas.microsoft.com/office/drawing/2014/main" id="{A51F7D4C-0D14-4B3B-9159-86302C8981E8}"/>
            </a:ext>
          </a:extLst>
        </xdr:cNvPr>
        <xdr:cNvSpPr txBox="1"/>
      </xdr:nvSpPr>
      <xdr:spPr>
        <a:xfrm>
          <a:off x="7348536" y="104775"/>
          <a:ext cx="5043489"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600" b="1" i="0">
              <a:solidFill>
                <a:schemeClr val="accent5">
                  <a:lumMod val="50000"/>
                </a:schemeClr>
              </a:solidFill>
            </a:rPr>
            <a:t>Excel Dashboard on Sales </a:t>
          </a:r>
        </a:p>
      </xdr:txBody>
    </xdr:sp>
    <xdr:clientData/>
  </xdr:twoCellAnchor>
  <xdr:twoCellAnchor>
    <xdr:from>
      <xdr:col>0</xdr:col>
      <xdr:colOff>19050</xdr:colOff>
      <xdr:row>5</xdr:row>
      <xdr:rowOff>0</xdr:rowOff>
    </xdr:from>
    <xdr:to>
      <xdr:col>7</xdr:col>
      <xdr:colOff>323850</xdr:colOff>
      <xdr:row>19</xdr:row>
      <xdr:rowOff>76200</xdr:rowOff>
    </xdr:to>
    <xdr:graphicFrame macro="">
      <xdr:nvGraphicFramePr>
        <xdr:cNvPr id="12" name="Chart 11">
          <a:extLst>
            <a:ext uri="{FF2B5EF4-FFF2-40B4-BE49-F238E27FC236}">
              <a16:creationId xmlns:a16="http://schemas.microsoft.com/office/drawing/2014/main" id="{D7F39A9D-69BA-4B19-9CF6-72DC9F129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323849</xdr:colOff>
      <xdr:row>5</xdr:row>
      <xdr:rowOff>47625</xdr:rowOff>
    </xdr:from>
    <xdr:to>
      <xdr:col>28</xdr:col>
      <xdr:colOff>85724</xdr:colOff>
      <xdr:row>20</xdr:row>
      <xdr:rowOff>9525</xdr:rowOff>
    </xdr:to>
    <xdr:graphicFrame macro="">
      <xdr:nvGraphicFramePr>
        <xdr:cNvPr id="13" name="Chart 12">
          <a:extLst>
            <a:ext uri="{FF2B5EF4-FFF2-40B4-BE49-F238E27FC236}">
              <a16:creationId xmlns:a16="http://schemas.microsoft.com/office/drawing/2014/main" id="{038F7DF2-A322-4FE0-B536-AAA690469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314325</xdr:colOff>
      <xdr:row>5</xdr:row>
      <xdr:rowOff>28575</xdr:rowOff>
    </xdr:from>
    <xdr:to>
      <xdr:col>15</xdr:col>
      <xdr:colOff>9525</xdr:colOff>
      <xdr:row>19</xdr:row>
      <xdr:rowOff>104775</xdr:rowOff>
    </xdr:to>
    <xdr:graphicFrame macro="">
      <xdr:nvGraphicFramePr>
        <xdr:cNvPr id="14" name="Chart 13">
          <a:extLst>
            <a:ext uri="{FF2B5EF4-FFF2-40B4-BE49-F238E27FC236}">
              <a16:creationId xmlns:a16="http://schemas.microsoft.com/office/drawing/2014/main" id="{2AAFFA4B-FDD5-4A69-AF1C-9A527375C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47625</xdr:colOff>
      <xdr:row>19</xdr:row>
      <xdr:rowOff>114300</xdr:rowOff>
    </xdr:from>
    <xdr:to>
      <xdr:col>22</xdr:col>
      <xdr:colOff>295275</xdr:colOff>
      <xdr:row>34</xdr:row>
      <xdr:rowOff>47625</xdr:rowOff>
    </xdr:to>
    <xdr:graphicFrame macro="">
      <xdr:nvGraphicFramePr>
        <xdr:cNvPr id="15" name="Chart 14">
          <a:extLst>
            <a:ext uri="{FF2B5EF4-FFF2-40B4-BE49-F238E27FC236}">
              <a16:creationId xmlns:a16="http://schemas.microsoft.com/office/drawing/2014/main" id="{34603726-1EC8-4BDA-BA0C-D2F4456AC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19050</xdr:colOff>
      <xdr:row>5</xdr:row>
      <xdr:rowOff>38100</xdr:rowOff>
    </xdr:from>
    <xdr:to>
      <xdr:col>22</xdr:col>
      <xdr:colOff>323850</xdr:colOff>
      <xdr:row>19</xdr:row>
      <xdr:rowOff>104775</xdr:rowOff>
    </xdr:to>
    <xdr:graphicFrame macro="">
      <xdr:nvGraphicFramePr>
        <xdr:cNvPr id="16" name="Chart 15">
          <a:extLst>
            <a:ext uri="{FF2B5EF4-FFF2-40B4-BE49-F238E27FC236}">
              <a16:creationId xmlns:a16="http://schemas.microsoft.com/office/drawing/2014/main" id="{46F476AD-F35C-471D-98A1-F81CAD439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295275</xdr:colOff>
      <xdr:row>19</xdr:row>
      <xdr:rowOff>95250</xdr:rowOff>
    </xdr:from>
    <xdr:to>
      <xdr:col>14</xdr:col>
      <xdr:colOff>600075</xdr:colOff>
      <xdr:row>33</xdr:row>
      <xdr:rowOff>171450</xdr:rowOff>
    </xdr:to>
    <xdr:graphicFrame macro="">
      <xdr:nvGraphicFramePr>
        <xdr:cNvPr id="18" name="Chart 17">
          <a:extLst>
            <a:ext uri="{FF2B5EF4-FFF2-40B4-BE49-F238E27FC236}">
              <a16:creationId xmlns:a16="http://schemas.microsoft.com/office/drawing/2014/main" id="{4CC88309-A304-4DC3-9CD6-18B43711C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9525</xdr:colOff>
      <xdr:row>19</xdr:row>
      <xdr:rowOff>85724</xdr:rowOff>
    </xdr:from>
    <xdr:to>
      <xdr:col>7</xdr:col>
      <xdr:colOff>314325</xdr:colOff>
      <xdr:row>33</xdr:row>
      <xdr:rowOff>76199</xdr:rowOff>
    </xdr:to>
    <xdr:graphicFrame macro="">
      <xdr:nvGraphicFramePr>
        <xdr:cNvPr id="20" name="Chart 19">
          <a:extLst>
            <a:ext uri="{FF2B5EF4-FFF2-40B4-BE49-F238E27FC236}">
              <a16:creationId xmlns:a16="http://schemas.microsoft.com/office/drawing/2014/main" id="{391C84CA-0A9B-4236-8DC9-D704DC130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333375</xdr:colOff>
      <xdr:row>20</xdr:row>
      <xdr:rowOff>47625</xdr:rowOff>
    </xdr:from>
    <xdr:to>
      <xdr:col>28</xdr:col>
      <xdr:colOff>47625</xdr:colOff>
      <xdr:row>33</xdr:row>
      <xdr:rowOff>95250</xdr:rowOff>
    </xdr:to>
    <mc:AlternateContent xmlns:mc="http://schemas.openxmlformats.org/markup-compatibility/2006" xmlns:a14="http://schemas.microsoft.com/office/drawing/2010/main">
      <mc:Choice Requires="a14">
        <xdr:graphicFrame macro="">
          <xdr:nvGraphicFramePr>
            <xdr:cNvPr id="19" name="Product 1">
              <a:extLst>
                <a:ext uri="{FF2B5EF4-FFF2-40B4-BE49-F238E27FC236}">
                  <a16:creationId xmlns:a16="http://schemas.microsoft.com/office/drawing/2014/main" id="{54E295BA-BA15-4B7C-A588-3997DC2B909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3744575" y="3857625"/>
              <a:ext cx="33718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447674</xdr:colOff>
      <xdr:row>5</xdr:row>
      <xdr:rowOff>95250</xdr:rowOff>
    </xdr:from>
    <xdr:to>
      <xdr:col>23</xdr:col>
      <xdr:colOff>285749</xdr:colOff>
      <xdr:row>8</xdr:row>
      <xdr:rowOff>133350</xdr:rowOff>
    </xdr:to>
    <xdr:pic>
      <xdr:nvPicPr>
        <xdr:cNvPr id="3" name="Graphic 2" descr="Lightbulb">
          <a:extLst>
            <a:ext uri="{FF2B5EF4-FFF2-40B4-BE49-F238E27FC236}">
              <a16:creationId xmlns:a16="http://schemas.microsoft.com/office/drawing/2014/main" id="{5FDD3C90-232A-4E4F-9BF3-5C75A1BAC78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858874" y="1047750"/>
          <a:ext cx="447675" cy="609600"/>
        </a:xfrm>
        <a:prstGeom prst="rect">
          <a:avLst/>
        </a:prstGeom>
      </xdr:spPr>
    </xdr:pic>
    <xdr:clientData/>
  </xdr:twoCellAnchor>
  <xdr:twoCellAnchor editAs="oneCell">
    <xdr:from>
      <xdr:col>10</xdr:col>
      <xdr:colOff>466725</xdr:colOff>
      <xdr:row>0</xdr:row>
      <xdr:rowOff>47625</xdr:rowOff>
    </xdr:from>
    <xdr:to>
      <xdr:col>12</xdr:col>
      <xdr:colOff>76200</xdr:colOff>
      <xdr:row>4</xdr:row>
      <xdr:rowOff>114300</xdr:rowOff>
    </xdr:to>
    <xdr:pic>
      <xdr:nvPicPr>
        <xdr:cNvPr id="5" name="Graphic 4" descr="Bullseye">
          <a:extLst>
            <a:ext uri="{FF2B5EF4-FFF2-40B4-BE49-F238E27FC236}">
              <a16:creationId xmlns:a16="http://schemas.microsoft.com/office/drawing/2014/main" id="{BFF12FBA-4EBB-4EF8-8664-36D4A58E2ED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6562725" y="47625"/>
          <a:ext cx="828675" cy="828675"/>
        </a:xfrm>
        <a:prstGeom prst="rect">
          <a:avLst/>
        </a:prstGeom>
      </xdr:spPr>
    </xdr:pic>
    <xdr:clientData/>
  </xdr:twoCellAnchor>
</xdr:wsDr>
</file>

<file path=xl/drawings/drawing9.xml><?xml version="1.0" encoding="utf-8"?>
<c:userShapes xmlns:c="http://schemas.openxmlformats.org/drawingml/2006/chart">
  <cdr:relSizeAnchor xmlns:cdr="http://schemas.openxmlformats.org/drawingml/2006/chartDrawing">
    <cdr:from>
      <cdr:x>0.18958</cdr:x>
      <cdr:y>0.01736</cdr:y>
    </cdr:from>
    <cdr:to>
      <cdr:x>0.27292</cdr:x>
      <cdr:y>0.15625</cdr:y>
    </cdr:to>
    <cdr:pic>
      <cdr:nvPicPr>
        <cdr:cNvPr id="3" name="Graphic 2" descr="Bar chart">
          <a:extLst xmlns:a="http://schemas.openxmlformats.org/drawingml/2006/main">
            <a:ext uri="{FF2B5EF4-FFF2-40B4-BE49-F238E27FC236}">
              <a16:creationId xmlns:a16="http://schemas.microsoft.com/office/drawing/2014/main" id="{7E266889-4351-47A7-A9BE-17E3B07BBFE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66776" y="47625"/>
          <a:ext cx="380999" cy="380999"/>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0.2125</cdr:x>
      <cdr:y>0.00347</cdr:y>
    </cdr:from>
    <cdr:to>
      <cdr:x>0.34583</cdr:x>
      <cdr:y>0.15972</cdr:y>
    </cdr:to>
    <cdr:pic>
      <cdr:nvPicPr>
        <cdr:cNvPr id="3" name="Graphic 2" descr="Database">
          <a:extLst xmlns:a="http://schemas.openxmlformats.org/drawingml/2006/main">
            <a:ext uri="{FF2B5EF4-FFF2-40B4-BE49-F238E27FC236}">
              <a16:creationId xmlns:a16="http://schemas.microsoft.com/office/drawing/2014/main" id="{0CE71EB3-0768-4047-93D5-B52F6B3328F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71550" y="9525"/>
          <a:ext cx="609600" cy="42862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DMC 12" refreshedDate="46094.468431828704" createdVersion="6" refreshedVersion="6" minRefreshableVersion="3" recordCount="500" xr:uid="{0FDB9CDE-CC1D-407E-BD5E-49991442E16D}">
  <cacheSource type="worksheet">
    <worksheetSource name="sales_dataset_500_rows"/>
  </cacheSource>
  <cacheFields count="9">
    <cacheField name="OrderID" numFmtId="0">
      <sharedItems containsSemiMixedTypes="0" containsString="0" containsNumber="1" containsInteger="1" minValue="1000" maxValue="1499"/>
    </cacheField>
    <cacheField name="Date" numFmtId="14">
      <sharedItems containsSemiMixedTypes="0" containsNonDate="0" containsDate="1" containsString="0" minDate="2024-01-02T00:00:00" maxDate="2025-01-01T00:00:00" count="275">
        <d v="2024-06-09T00:00:00"/>
        <d v="2024-11-03T00:00:00"/>
        <d v="2024-10-18T00:00:00"/>
        <d v="2024-03-14T00:00:00"/>
        <d v="2024-10-27T00:00:00"/>
        <d v="2024-01-19T00:00:00"/>
        <d v="2024-04-14T00:00:00"/>
        <d v="2024-06-22T00:00:00"/>
        <d v="2024-07-11T00:00:00"/>
        <d v="2024-03-15T00:00:00"/>
        <d v="2024-05-15T00:00:00"/>
        <d v="2024-11-06T00:00:00"/>
        <d v="2024-05-30T00:00:00"/>
        <d v="2024-08-26T00:00:00"/>
        <d v="2024-06-11T00:00:00"/>
        <d v="2024-02-09T00:00:00"/>
        <d v="2024-05-06T00:00:00"/>
        <d v="2024-04-21T00:00:00"/>
        <d v="2024-02-06T00:00:00"/>
        <d v="2024-10-22T00:00:00"/>
        <d v="2024-07-19T00:00:00"/>
        <d v="2024-07-23T00:00:00"/>
        <d v="2024-01-02T00:00:00"/>
        <d v="2024-01-28T00:00:00"/>
        <d v="2024-12-02T00:00:00"/>
        <d v="2024-07-08T00:00:00"/>
        <d v="2024-10-17T00:00:00"/>
        <d v="2024-03-21T00:00:00"/>
        <d v="2024-07-09T00:00:00"/>
        <d v="2024-03-23T00:00:00"/>
        <d v="2024-09-06T00:00:00"/>
        <d v="2024-12-12T00:00:00"/>
        <d v="2024-02-08T00:00:00"/>
        <d v="2024-04-06T00:00:00"/>
        <d v="2024-02-29T00:00:00"/>
        <d v="2024-03-20T00:00:00"/>
        <d v="2024-04-24T00:00:00"/>
        <d v="2024-06-02T00:00:00"/>
        <d v="2024-02-04T00:00:00"/>
        <d v="2024-07-02T00:00:00"/>
        <d v="2024-03-10T00:00:00"/>
        <d v="2024-10-19T00:00:00"/>
        <d v="2024-03-18T00:00:00"/>
        <d v="2024-02-14T00:00:00"/>
        <d v="2024-10-20T00:00:00"/>
        <d v="2024-01-24T00:00:00"/>
        <d v="2024-04-29T00:00:00"/>
        <d v="2024-04-26T00:00:00"/>
        <d v="2024-05-10T00:00:00"/>
        <d v="2024-03-09T00:00:00"/>
        <d v="2024-01-14T00:00:00"/>
        <d v="2024-01-17T00:00:00"/>
        <d v="2024-06-15T00:00:00"/>
        <d v="2024-10-10T00:00:00"/>
        <d v="2024-02-26T00:00:00"/>
        <d v="2024-10-16T00:00:00"/>
        <d v="2024-02-02T00:00:00"/>
        <d v="2024-05-28T00:00:00"/>
        <d v="2024-09-01T00:00:00"/>
        <d v="2024-07-07T00:00:00"/>
        <d v="2024-04-28T00:00:00"/>
        <d v="2024-11-30T00:00:00"/>
        <d v="2024-08-01T00:00:00"/>
        <d v="2024-10-13T00:00:00"/>
        <d v="2024-03-24T00:00:00"/>
        <d v="2024-10-08T00:00:00"/>
        <d v="2024-12-29T00:00:00"/>
        <d v="2024-02-15T00:00:00"/>
        <d v="2024-03-25T00:00:00"/>
        <d v="2024-07-05T00:00:00"/>
        <d v="2024-09-20T00:00:00"/>
        <d v="2024-08-13T00:00:00"/>
        <d v="2024-08-03T00:00:00"/>
        <d v="2024-05-04T00:00:00"/>
        <d v="2024-12-01T00:00:00"/>
        <d v="2024-01-25T00:00:00"/>
        <d v="2024-05-27T00:00:00"/>
        <d v="2024-07-12T00:00:00"/>
        <d v="2024-04-09T00:00:00"/>
        <d v="2024-06-04T00:00:00"/>
        <d v="2024-03-08T00:00:00"/>
        <d v="2024-06-23T00:00:00"/>
        <d v="2024-05-31T00:00:00"/>
        <d v="2024-09-21T00:00:00"/>
        <d v="2024-02-27T00:00:00"/>
        <d v="2024-02-22T00:00:00"/>
        <d v="2024-11-16T00:00:00"/>
        <d v="2024-02-05T00:00:00"/>
        <d v="2024-02-23T00:00:00"/>
        <d v="2024-11-25T00:00:00"/>
        <d v="2024-01-10T00:00:00"/>
        <d v="2024-05-13T00:00:00"/>
        <d v="2024-06-30T00:00:00"/>
        <d v="2024-07-17T00:00:00"/>
        <d v="2024-12-08T00:00:00"/>
        <d v="2024-04-04T00:00:00"/>
        <d v="2024-01-08T00:00:00"/>
        <d v="2024-09-16T00:00:00"/>
        <d v="2024-07-31T00:00:00"/>
        <d v="2024-06-26T00:00:00"/>
        <d v="2024-12-07T00:00:00"/>
        <d v="2024-02-20T00:00:00"/>
        <d v="2024-01-21T00:00:00"/>
        <d v="2024-07-27T00:00:00"/>
        <d v="2024-09-05T00:00:00"/>
        <d v="2024-04-02T00:00:00"/>
        <d v="2024-10-09T00:00:00"/>
        <d v="2024-03-28T00:00:00"/>
        <d v="2024-01-30T00:00:00"/>
        <d v="2024-01-11T00:00:00"/>
        <d v="2024-02-12T00:00:00"/>
        <d v="2024-02-11T00:00:00"/>
        <d v="2024-07-30T00:00:00"/>
        <d v="2024-12-20T00:00:00"/>
        <d v="2024-09-18T00:00:00"/>
        <d v="2024-04-12T00:00:00"/>
        <d v="2024-12-11T00:00:00"/>
        <d v="2024-12-22T00:00:00"/>
        <d v="2024-05-07T00:00:00"/>
        <d v="2024-01-29T00:00:00"/>
        <d v="2024-12-16T00:00:00"/>
        <d v="2024-01-31T00:00:00"/>
        <d v="2024-04-05T00:00:00"/>
        <d v="2024-05-12T00:00:00"/>
        <d v="2024-06-05T00:00:00"/>
        <d v="2024-09-17T00:00:00"/>
        <d v="2024-09-12T00:00:00"/>
        <d v="2024-11-24T00:00:00"/>
        <d v="2024-09-30T00:00:00"/>
        <d v="2024-05-14T00:00:00"/>
        <d v="2024-06-19T00:00:00"/>
        <d v="2024-01-05T00:00:00"/>
        <d v="2024-04-03T00:00:00"/>
        <d v="2024-01-16T00:00:00"/>
        <d v="2024-03-12T00:00:00"/>
        <d v="2024-12-10T00:00:00"/>
        <d v="2024-08-08T00:00:00"/>
        <d v="2024-07-22T00:00:00"/>
        <d v="2024-01-09T00:00:00"/>
        <d v="2024-06-10T00:00:00"/>
        <d v="2024-12-21T00:00:00"/>
        <d v="2024-08-10T00:00:00"/>
        <d v="2024-09-11T00:00:00"/>
        <d v="2024-05-17T00:00:00"/>
        <d v="2024-01-06T00:00:00"/>
        <d v="2024-02-18T00:00:00"/>
        <d v="2024-12-31T00:00:00"/>
        <d v="2024-12-17T00:00:00"/>
        <d v="2024-06-16T00:00:00"/>
        <d v="2024-12-18T00:00:00"/>
        <d v="2024-07-29T00:00:00"/>
        <d v="2024-07-16T00:00:00"/>
        <d v="2024-06-27T00:00:00"/>
        <d v="2024-09-09T00:00:00"/>
        <d v="2024-02-19T00:00:00"/>
        <d v="2024-12-30T00:00:00"/>
        <d v="2024-03-30T00:00:00"/>
        <d v="2024-03-04T00:00:00"/>
        <d v="2024-11-04T00:00:00"/>
        <d v="2024-07-26T00:00:00"/>
        <d v="2024-11-29T00:00:00"/>
        <d v="2024-03-19T00:00:00"/>
        <d v="2024-01-15T00:00:00"/>
        <d v="2024-01-27T00:00:00"/>
        <d v="2024-08-29T00:00:00"/>
        <d v="2024-07-01T00:00:00"/>
        <d v="2024-03-17T00:00:00"/>
        <d v="2024-08-02T00:00:00"/>
        <d v="2024-05-05T00:00:00"/>
        <d v="2024-08-12T00:00:00"/>
        <d v="2024-09-04T00:00:00"/>
        <d v="2024-04-15T00:00:00"/>
        <d v="2024-05-23T00:00:00"/>
        <d v="2024-04-17T00:00:00"/>
        <d v="2024-03-06T00:00:00"/>
        <d v="2024-03-05T00:00:00"/>
        <d v="2024-11-15T00:00:00"/>
        <d v="2024-02-16T00:00:00"/>
        <d v="2024-11-28T00:00:00"/>
        <d v="2024-07-03T00:00:00"/>
        <d v="2024-10-26T00:00:00"/>
        <d v="2024-01-22T00:00:00"/>
        <d v="2024-07-20T00:00:00"/>
        <d v="2024-05-24T00:00:00"/>
        <d v="2024-08-20T00:00:00"/>
        <d v="2024-10-30T00:00:00"/>
        <d v="2024-01-12T00:00:00"/>
        <d v="2024-06-24T00:00:00"/>
        <d v="2024-07-18T00:00:00"/>
        <d v="2024-10-31T00:00:00"/>
        <d v="2024-09-07T00:00:00"/>
        <d v="2024-10-02T00:00:00"/>
        <d v="2024-11-20T00:00:00"/>
        <d v="2024-10-29T00:00:00"/>
        <d v="2024-05-08T00:00:00"/>
        <d v="2024-12-23T00:00:00"/>
        <d v="2024-07-24T00:00:00"/>
        <d v="2024-09-22T00:00:00"/>
        <d v="2024-02-10T00:00:00"/>
        <d v="2024-12-05T00:00:00"/>
        <d v="2024-12-28T00:00:00"/>
        <d v="2024-08-19T00:00:00"/>
        <d v="2024-03-29T00:00:00"/>
        <d v="2024-07-10T00:00:00"/>
        <d v="2024-10-24T00:00:00"/>
        <d v="2024-05-29T00:00:00"/>
        <d v="2024-01-07T00:00:00"/>
        <d v="2024-02-01T00:00:00"/>
        <d v="2024-05-21T00:00:00"/>
        <d v="2024-11-21T00:00:00"/>
        <d v="2024-05-20T00:00:00"/>
        <d v="2024-10-04T00:00:00"/>
        <d v="2024-06-17T00:00:00"/>
        <d v="2024-08-27T00:00:00"/>
        <d v="2024-12-25T00:00:00"/>
        <d v="2024-02-07T00:00:00"/>
        <d v="2024-01-20T00:00:00"/>
        <d v="2024-12-15T00:00:00"/>
        <d v="2024-08-06T00:00:00"/>
        <d v="2024-10-05T00:00:00"/>
        <d v="2024-07-14T00:00:00"/>
        <d v="2024-01-26T00:00:00"/>
        <d v="2024-10-03T00:00:00"/>
        <d v="2024-12-09T00:00:00"/>
        <d v="2024-09-15T00:00:00"/>
        <d v="2024-03-07T00:00:00"/>
        <d v="2024-01-18T00:00:00"/>
        <d v="2024-04-25T00:00:00"/>
        <d v="2024-08-23T00:00:00"/>
        <d v="2024-04-11T00:00:00"/>
        <d v="2024-02-13T00:00:00"/>
        <d v="2024-03-16T00:00:00"/>
        <d v="2024-06-28T00:00:00"/>
        <d v="2024-10-14T00:00:00"/>
        <d v="2024-03-03T00:00:00"/>
        <d v="2024-03-01T00:00:00"/>
        <d v="2024-10-23T00:00:00"/>
        <d v="2024-11-19T00:00:00"/>
        <d v="2024-02-21T00:00:00"/>
        <d v="2024-09-25T00:00:00"/>
        <d v="2024-05-19T00:00:00"/>
        <d v="2024-11-11T00:00:00"/>
        <d v="2024-11-12T00:00:00"/>
        <d v="2024-04-27T00:00:00"/>
        <d v="2024-09-28T00:00:00"/>
        <d v="2024-03-26T00:00:00"/>
        <d v="2024-08-09T00:00:00"/>
        <d v="2024-08-04T00:00:00"/>
        <d v="2024-06-25T00:00:00"/>
        <d v="2024-11-05T00:00:00"/>
        <d v="2024-03-31T00:00:00"/>
        <d v="2024-03-11T00:00:00"/>
        <d v="2024-04-13T00:00:00"/>
        <d v="2024-12-04T00:00:00"/>
        <d v="2024-04-23T00:00:00"/>
        <d v="2024-08-25T00:00:00"/>
        <d v="2024-06-29T00:00:00"/>
        <d v="2024-09-03T00:00:00"/>
        <d v="2024-10-07T00:00:00"/>
        <d v="2024-07-21T00:00:00"/>
        <d v="2024-01-03T00:00:00"/>
        <d v="2024-06-01T00:00:00"/>
        <d v="2024-09-08T00:00:00"/>
        <d v="2024-06-13T00:00:00"/>
        <d v="2024-04-07T00:00:00"/>
        <d v="2024-11-22T00:00:00"/>
        <d v="2024-09-24T00:00:00"/>
        <d v="2024-12-26T00:00:00"/>
        <d v="2024-05-18T00:00:00"/>
        <d v="2024-07-06T00:00:00"/>
        <d v="2024-11-10T00:00:00"/>
        <d v="2024-02-28T00:00:00"/>
        <d v="2024-06-18T00:00:00"/>
        <d v="2024-05-01T00:00:00"/>
        <d v="2024-11-13T00:00:00"/>
      </sharedItems>
      <fieldGroup par="8" base="1">
        <rangePr groupBy="days" startDate="2024-01-02T00:00:00" endDate="2025-01-01T00:00:00"/>
        <groupItems count="368">
          <s v="&lt;02-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Region" numFmtId="0">
      <sharedItems count="4">
        <s v="South"/>
        <s v="East"/>
        <s v="West"/>
        <s v="North"/>
      </sharedItems>
    </cacheField>
    <cacheField name="Category" numFmtId="0">
      <sharedItems count="3">
        <s v="Clothing"/>
        <s v="Electronics"/>
        <s v="Furniture"/>
      </sharedItems>
    </cacheField>
    <cacheField name="Product" numFmtId="0">
      <sharedItems count="15">
        <s v="Shoes"/>
        <s v="Monitor"/>
        <s v="Chair"/>
        <s v="Shirt"/>
        <s v="Tablet"/>
        <s v="Jeans"/>
        <s v="Jacket"/>
        <s v="Headphones"/>
        <s v="Laptop"/>
        <s v="Sweater"/>
        <s v="Mobile"/>
        <s v="Table"/>
        <s v="Shelf"/>
        <s v="Sofa"/>
        <s v="Desk"/>
      </sharedItems>
    </cacheField>
    <cacheField name="Customer" numFmtId="0">
      <sharedItems count="99">
        <s v="Customer_3"/>
        <s v="Customer_2"/>
        <s v="Customer_22"/>
        <s v="Customer_95"/>
        <s v="Customer_49"/>
        <s v="Customer_63"/>
        <s v="Customer_67"/>
        <s v="Customer_80"/>
        <s v="Customer_51"/>
        <s v="Customer_72"/>
        <s v="Customer_46"/>
        <s v="Customer_82"/>
        <s v="Customer_21"/>
        <s v="Customer_23"/>
        <s v="Customer_62"/>
        <s v="Customer_19"/>
        <s v="Customer_85"/>
        <s v="Customer_60"/>
        <s v="Customer_56"/>
        <s v="Customer_65"/>
        <s v="Customer_13"/>
        <s v="Customer_10"/>
        <s v="Customer_45"/>
        <s v="Customer_87"/>
        <s v="Customer_55"/>
        <s v="Customer_40"/>
        <s v="Customer_57"/>
        <s v="Customer_37"/>
        <s v="Customer_76"/>
        <s v="Customer_59"/>
        <s v="Customer_73"/>
        <s v="Customer_90"/>
        <s v="Customer_53"/>
        <s v="Customer_35"/>
        <s v="Customer_50"/>
        <s v="Customer_32"/>
        <s v="Customer_9"/>
        <s v="Customer_7"/>
        <s v="Customer_81"/>
        <s v="Customer_61"/>
        <s v="Customer_14"/>
        <s v="Customer_69"/>
        <s v="Customer_75"/>
        <s v="Customer_93"/>
        <s v="Customer_98"/>
        <s v="Customer_29"/>
        <s v="Customer_41"/>
        <s v="Customer_5"/>
        <s v="Customer_17"/>
        <s v="Customer_27"/>
        <s v="Customer_58"/>
        <s v="Customer_12"/>
        <s v="Customer_11"/>
        <s v="Customer_36"/>
        <s v="Customer_89"/>
        <s v="Customer_77"/>
        <s v="Customer_31"/>
        <s v="Customer_20"/>
        <s v="Customer_8"/>
        <s v="Customer_26"/>
        <s v="Customer_24"/>
        <s v="Customer_25"/>
        <s v="Customer_18"/>
        <s v="Customer_94"/>
        <s v="Customer_99"/>
        <s v="Customer_4"/>
        <s v="Customer_54"/>
        <s v="Customer_88"/>
        <s v="Customer_33"/>
        <s v="Customer_47"/>
        <s v="Customer_91"/>
        <s v="Customer_79"/>
        <s v="Customer_34"/>
        <s v="Customer_71"/>
        <s v="Customer_16"/>
        <s v="Customer_44"/>
        <s v="Customer_70"/>
        <s v="Customer_15"/>
        <s v="Customer_39"/>
        <s v="Customer_74"/>
        <s v="Customer_83"/>
        <s v="Customer_68"/>
        <s v="Customer_1"/>
        <s v="Customer_84"/>
        <s v="Customer_86"/>
        <s v="Customer_78"/>
        <s v="Customer_92"/>
        <s v="Customer_43"/>
        <s v="Customer_96"/>
        <s v="Customer_28"/>
        <s v="Customer_52"/>
        <s v="Customer_30"/>
        <s v="Customer_6"/>
        <s v="Customer_97"/>
        <s v="Customer_38"/>
        <s v="Customer_42"/>
        <s v="Customer_100"/>
        <s v="Customer_66"/>
        <s v="Customer_64"/>
      </sharedItems>
    </cacheField>
    <cacheField name="Sales" numFmtId="0">
      <sharedItems containsSemiMixedTypes="0" containsString="0" containsNumber="1" containsInteger="1" minValue="559" maxValue="59972"/>
    </cacheField>
    <cacheField name="Profit" numFmtId="0">
      <sharedItems containsSemiMixedTypes="0" containsString="0" containsNumber="1" minValue="66.58" maxValue="14310.46"/>
    </cacheField>
    <cacheField name="Months" numFmtId="0" databaseField="0">
      <fieldGroup base="1">
        <rangePr groupBy="months" startDate="2024-01-02T00:00:00" endDate="2025-01-01T00:00:00"/>
        <groupItems count="14">
          <s v="&lt;02-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11428364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DMC 12" refreshedDate="46094.486971064813" createdVersion="6" refreshedVersion="6" minRefreshableVersion="3" recordCount="502" xr:uid="{8CBAF6D2-3958-4361-B79F-901132219169}">
  <cacheSource type="worksheet">
    <worksheetSource ref="A1:H1048576" sheet="Sheet2"/>
  </cacheSource>
  <cacheFields count="8">
    <cacheField name="OrderID" numFmtId="0">
      <sharedItems containsString="0" containsBlank="1" containsNumber="1" containsInteger="1" minValue="1000" maxValue="1499"/>
    </cacheField>
    <cacheField name="Date" numFmtId="0">
      <sharedItems containsNonDate="0" containsDate="1" containsString="0" containsBlank="1" minDate="2024-01-02T00:00:00" maxDate="2025-01-01T00:00:00" count="276">
        <d v="2024-01-02T00:00:00"/>
        <d v="2024-01-03T00:00:00"/>
        <d v="2024-01-05T00:00:00"/>
        <d v="2024-01-06T00:00:00"/>
        <d v="2024-01-07T00:00:00"/>
        <d v="2024-01-08T00:00:00"/>
        <d v="2024-01-09T00:00:00"/>
        <d v="2024-01-10T00:00:00"/>
        <d v="2024-01-11T00:00:00"/>
        <d v="2024-01-12T00:00:00"/>
        <d v="2024-01-14T00:00:00"/>
        <d v="2024-01-15T00:00:00"/>
        <d v="2024-01-16T00:00:00"/>
        <d v="2024-01-17T00:00:00"/>
        <d v="2024-01-18T00:00:00"/>
        <d v="2024-01-19T00:00:00"/>
        <d v="2024-01-20T00:00:00"/>
        <d v="2024-01-21T00:00:00"/>
        <d v="2024-01-22T00:00:00"/>
        <d v="2024-01-24T00:00:00"/>
        <d v="2024-01-25T00:00:00"/>
        <d v="2024-01-26T00:00:00"/>
        <d v="2024-01-27T00:00:00"/>
        <d v="2024-01-28T00:00:00"/>
        <d v="2024-01-29T00:00:00"/>
        <d v="2024-01-30T00:00:00"/>
        <d v="2024-01-31T00:00:00"/>
        <d v="2024-02-01T00:00:00"/>
        <d v="2024-02-02T00:00:00"/>
        <d v="2024-02-04T00:00:00"/>
        <d v="2024-02-05T00:00:00"/>
        <d v="2024-02-06T00:00:00"/>
        <d v="2024-02-07T00:00:00"/>
        <d v="2024-02-08T00:00:00"/>
        <d v="2024-02-09T00:00:00"/>
        <d v="2024-02-10T00:00:00"/>
        <d v="2024-02-11T00:00:00"/>
        <d v="2024-02-12T00:00:00"/>
        <d v="2024-02-13T00:00:00"/>
        <d v="2024-02-14T00:00:00"/>
        <d v="2024-02-15T00:00:00"/>
        <d v="2024-02-16T00:00:00"/>
        <d v="2024-02-18T00:00:00"/>
        <d v="2024-02-19T00:00:00"/>
        <d v="2024-02-20T00:00:00"/>
        <d v="2024-02-21T00:00:00"/>
        <d v="2024-02-22T00:00:00"/>
        <d v="2024-02-23T00:00:00"/>
        <d v="2024-02-26T00:00:00"/>
        <d v="2024-02-27T00:00:00"/>
        <d v="2024-02-28T00:00:00"/>
        <d v="2024-02-29T00:00:00"/>
        <d v="2024-03-01T00:00:00"/>
        <d v="2024-03-03T00:00:00"/>
        <d v="2024-03-04T00:00:00"/>
        <d v="2024-03-05T00:00:00"/>
        <d v="2024-03-06T00:00:00"/>
        <d v="2024-03-07T00:00:00"/>
        <d v="2024-03-08T00:00:00"/>
        <d v="2024-03-09T00:00:00"/>
        <d v="2024-03-10T00:00:00"/>
        <d v="2024-03-11T00:00:00"/>
        <d v="2024-03-12T00:00:00"/>
        <d v="2024-03-14T00:00:00"/>
        <d v="2024-03-15T00:00:00"/>
        <d v="2024-03-16T00:00:00"/>
        <d v="2024-03-17T00:00:00"/>
        <d v="2024-03-18T00:00:00"/>
        <d v="2024-03-19T00:00:00"/>
        <d v="2024-03-20T00:00:00"/>
        <d v="2024-03-21T00:00:00"/>
        <d v="2024-03-23T00:00:00"/>
        <d v="2024-03-24T00:00:00"/>
        <d v="2024-03-25T00:00:00"/>
        <d v="2024-03-26T00:00:00"/>
        <d v="2024-03-28T00:00:00"/>
        <d v="2024-03-29T00:00:00"/>
        <d v="2024-03-30T00:00:00"/>
        <d v="2024-03-31T00:00:00"/>
        <d v="2024-04-02T00:00:00"/>
        <d v="2024-04-03T00:00:00"/>
        <d v="2024-04-04T00:00:00"/>
        <d v="2024-04-05T00:00:00"/>
        <d v="2024-04-06T00:00:00"/>
        <d v="2024-04-07T00:00:00"/>
        <d v="2024-04-09T00:00:00"/>
        <d v="2024-04-11T00:00:00"/>
        <d v="2024-04-12T00:00:00"/>
        <d v="2024-04-13T00:00:00"/>
        <d v="2024-04-14T00:00:00"/>
        <d v="2024-04-15T00:00:00"/>
        <d v="2024-04-17T00:00:00"/>
        <d v="2024-04-21T00:00:00"/>
        <d v="2024-04-23T00:00:00"/>
        <d v="2024-04-24T00:00:00"/>
        <d v="2024-04-25T00:00:00"/>
        <d v="2024-04-26T00:00:00"/>
        <d v="2024-04-27T00:00:00"/>
        <d v="2024-04-28T00:00:00"/>
        <d v="2024-04-29T00:00:00"/>
        <d v="2024-05-01T00:00:00"/>
        <d v="2024-05-04T00:00:00"/>
        <d v="2024-05-05T00:00:00"/>
        <d v="2024-05-06T00:00:00"/>
        <d v="2024-05-07T00:00:00"/>
        <d v="2024-05-08T00:00:00"/>
        <d v="2024-05-10T00:00:00"/>
        <d v="2024-05-12T00:00:00"/>
        <d v="2024-05-13T00:00:00"/>
        <d v="2024-05-14T00:00:00"/>
        <d v="2024-05-15T00:00:00"/>
        <d v="2024-05-17T00:00:00"/>
        <d v="2024-05-18T00:00:00"/>
        <d v="2024-05-19T00:00:00"/>
        <d v="2024-05-20T00:00:00"/>
        <d v="2024-05-21T00:00:00"/>
        <d v="2024-05-23T00:00:00"/>
        <d v="2024-05-24T00:00:00"/>
        <d v="2024-05-27T00:00:00"/>
        <d v="2024-05-28T00:00:00"/>
        <d v="2024-05-29T00:00:00"/>
        <d v="2024-05-30T00:00:00"/>
        <d v="2024-05-31T00:00:00"/>
        <d v="2024-06-01T00:00:00"/>
        <d v="2024-06-02T00:00:00"/>
        <d v="2024-06-04T00:00:00"/>
        <d v="2024-06-05T00:00:00"/>
        <d v="2024-06-09T00:00:00"/>
        <d v="2024-06-10T00:00:00"/>
        <d v="2024-06-11T00:00:00"/>
        <d v="2024-06-13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3T00:00:00"/>
        <d v="2024-07-05T00:00:00"/>
        <d v="2024-07-06T00:00:00"/>
        <d v="2024-07-07T00:00:00"/>
        <d v="2024-07-08T00:00:00"/>
        <d v="2024-07-09T00:00:00"/>
        <d v="2024-07-10T00:00:00"/>
        <d v="2024-07-11T00:00:00"/>
        <d v="2024-07-12T00:00:00"/>
        <d v="2024-07-14T00:00:00"/>
        <d v="2024-07-16T00:00:00"/>
        <d v="2024-07-17T00:00:00"/>
        <d v="2024-07-18T00:00:00"/>
        <d v="2024-07-19T00:00:00"/>
        <d v="2024-07-20T00:00:00"/>
        <d v="2024-07-21T00:00:00"/>
        <d v="2024-07-22T00:00:00"/>
        <d v="2024-07-23T00:00:00"/>
        <d v="2024-07-24T00:00:00"/>
        <d v="2024-07-26T00:00:00"/>
        <d v="2024-07-27T00:00:00"/>
        <d v="2024-07-29T00:00:00"/>
        <d v="2024-07-30T00:00:00"/>
        <d v="2024-07-31T00:00:00"/>
        <d v="2024-08-01T00:00:00"/>
        <d v="2024-08-02T00:00:00"/>
        <d v="2024-08-03T00:00:00"/>
        <d v="2024-08-04T00:00:00"/>
        <d v="2024-08-06T00:00:00"/>
        <d v="2024-08-08T00:00:00"/>
        <d v="2024-08-09T00:00:00"/>
        <d v="2024-08-10T00:00:00"/>
        <d v="2024-08-12T00:00:00"/>
        <d v="2024-08-13T00:00:00"/>
        <d v="2024-08-19T00:00:00"/>
        <d v="2024-08-20T00:00:00"/>
        <d v="2024-08-23T00:00:00"/>
        <d v="2024-08-25T00:00:00"/>
        <d v="2024-08-26T00:00:00"/>
        <d v="2024-08-27T00:00:00"/>
        <d v="2024-08-29T00:00:00"/>
        <d v="2024-09-01T00:00:00"/>
        <d v="2024-09-03T00:00:00"/>
        <d v="2024-09-04T00:00:00"/>
        <d v="2024-09-05T00:00:00"/>
        <d v="2024-09-06T00:00:00"/>
        <d v="2024-09-07T00:00:00"/>
        <d v="2024-09-08T00:00:00"/>
        <d v="2024-09-09T00:00:00"/>
        <d v="2024-09-11T00:00:00"/>
        <d v="2024-09-12T00:00:00"/>
        <d v="2024-09-15T00:00:00"/>
        <d v="2024-09-16T00:00:00"/>
        <d v="2024-09-17T00:00:00"/>
        <d v="2024-09-18T00:00:00"/>
        <d v="2024-09-20T00:00:00"/>
        <d v="2024-09-21T00:00:00"/>
        <d v="2024-09-22T00:00:00"/>
        <d v="2024-09-24T00:00:00"/>
        <d v="2024-09-25T00:00:00"/>
        <d v="2024-09-28T00:00:00"/>
        <d v="2024-09-30T00:00:00"/>
        <d v="2024-10-02T00:00:00"/>
        <d v="2024-10-03T00:00:00"/>
        <d v="2024-10-04T00:00:00"/>
        <d v="2024-10-05T00:00:00"/>
        <d v="2024-10-07T00:00:00"/>
        <d v="2024-10-08T00:00:00"/>
        <d v="2024-10-09T00:00:00"/>
        <d v="2024-10-10T00:00:00"/>
        <d v="2024-10-13T00:00:00"/>
        <d v="2024-10-14T00:00:00"/>
        <d v="2024-10-16T00:00:00"/>
        <d v="2024-10-17T00:00:00"/>
        <d v="2024-10-18T00:00:00"/>
        <d v="2024-10-19T00:00:00"/>
        <d v="2024-10-20T00:00:00"/>
        <d v="2024-10-22T00:00:00"/>
        <d v="2024-10-23T00:00:00"/>
        <d v="2024-10-24T00:00:00"/>
        <d v="2024-10-26T00:00:00"/>
        <d v="2024-10-27T00:00:00"/>
        <d v="2024-10-29T00:00:00"/>
        <d v="2024-10-30T00:00:00"/>
        <d v="2024-10-31T00:00:00"/>
        <d v="2024-11-03T00:00:00"/>
        <d v="2024-11-04T00:00:00"/>
        <d v="2024-11-05T00:00:00"/>
        <d v="2024-11-06T00:00:00"/>
        <d v="2024-11-10T00:00:00"/>
        <d v="2024-11-11T00:00:00"/>
        <d v="2024-11-12T00:00:00"/>
        <d v="2024-11-13T00:00:00"/>
        <d v="2024-11-15T00:00:00"/>
        <d v="2024-11-16T00:00:00"/>
        <d v="2024-11-19T00:00:00"/>
        <d v="2024-11-20T00:00:00"/>
        <d v="2024-11-21T00:00:00"/>
        <d v="2024-11-22T00:00:00"/>
        <d v="2024-11-24T00:00:00"/>
        <d v="2024-11-25T00:00:00"/>
        <d v="2024-11-28T00:00:00"/>
        <d v="2024-11-29T00:00:00"/>
        <d v="2024-11-30T00:00:00"/>
        <d v="2024-12-01T00:00:00"/>
        <d v="2024-12-02T00:00:00"/>
        <d v="2024-12-04T00:00:00"/>
        <d v="2024-12-05T00:00:00"/>
        <d v="2024-12-07T00:00:00"/>
        <d v="2024-12-08T00:00:00"/>
        <d v="2024-12-09T00:00:00"/>
        <d v="2024-12-10T00:00:00"/>
        <d v="2024-12-11T00:00:00"/>
        <d v="2024-12-12T00:00:00"/>
        <d v="2024-12-15T00:00:00"/>
        <d v="2024-12-16T00:00:00"/>
        <d v="2024-12-17T00:00:00"/>
        <d v="2024-12-18T00:00:00"/>
        <d v="2024-12-20T00:00:00"/>
        <d v="2024-12-21T00:00:00"/>
        <d v="2024-12-22T00:00:00"/>
        <d v="2024-12-23T00:00:00"/>
        <d v="2024-12-25T00:00:00"/>
        <d v="2024-12-26T00:00:00"/>
        <d v="2024-12-28T00:00:00"/>
        <d v="2024-12-29T00:00:00"/>
        <d v="2024-12-30T00:00:00"/>
        <d v="2024-12-31T00:00:00"/>
        <m/>
      </sharedItems>
      <fieldGroup base="1">
        <rangePr groupBy="months" startDate="2024-01-02T00:00:00" endDate="2025-01-01T00:00:00"/>
        <groupItems count="14">
          <s v="(blank)"/>
          <s v="Jan"/>
          <s v="Feb"/>
          <s v="Mar"/>
          <s v="Apr"/>
          <s v="May"/>
          <s v="Jun"/>
          <s v="Jul"/>
          <s v="Aug"/>
          <s v="Sep"/>
          <s v="Oct"/>
          <s v="Nov"/>
          <s v="Dec"/>
          <s v="&gt;01-01-2025"/>
        </groupItems>
      </fieldGroup>
    </cacheField>
    <cacheField name="Region" numFmtId="0">
      <sharedItems containsBlank="1"/>
    </cacheField>
    <cacheField name="Category" numFmtId="0">
      <sharedItems containsBlank="1"/>
    </cacheField>
    <cacheField name="Product" numFmtId="0">
      <sharedItems containsBlank="1"/>
    </cacheField>
    <cacheField name="Customer" numFmtId="0">
      <sharedItems containsBlank="1"/>
    </cacheField>
    <cacheField name="Sales" numFmtId="0">
      <sharedItems containsString="0" containsBlank="1" containsNumber="1" containsInteger="1" minValue="559" maxValue="59972"/>
    </cacheField>
    <cacheField name="Profit" numFmtId="0">
      <sharedItems containsString="0" containsBlank="1" containsNumber="1" minValue="66.58" maxValue="14310.46"/>
    </cacheField>
  </cacheFields>
  <extLst>
    <ext xmlns:x14="http://schemas.microsoft.com/office/spreadsheetml/2009/9/main" uri="{725AE2AE-9491-48be-B2B4-4EB974FC3084}">
      <x14:pivotCacheDefinition pivotCacheId="1393855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0"/>
    <x v="0"/>
    <x v="0"/>
    <x v="0"/>
    <x v="0"/>
    <x v="0"/>
    <n v="23325"/>
    <n v="5162.21"/>
  </r>
  <r>
    <n v="1001"/>
    <x v="1"/>
    <x v="1"/>
    <x v="1"/>
    <x v="1"/>
    <x v="1"/>
    <n v="37397"/>
    <n v="2692.45"/>
  </r>
  <r>
    <n v="1002"/>
    <x v="2"/>
    <x v="1"/>
    <x v="2"/>
    <x v="2"/>
    <x v="2"/>
    <n v="26944"/>
    <n v="6162.54"/>
  </r>
  <r>
    <n v="1003"/>
    <x v="3"/>
    <x v="0"/>
    <x v="0"/>
    <x v="3"/>
    <x v="3"/>
    <n v="29944"/>
    <n v="7296.25"/>
  </r>
  <r>
    <n v="1004"/>
    <x v="4"/>
    <x v="2"/>
    <x v="1"/>
    <x v="4"/>
    <x v="4"/>
    <n v="33227"/>
    <n v="2894.78"/>
  </r>
  <r>
    <n v="1005"/>
    <x v="5"/>
    <x v="1"/>
    <x v="1"/>
    <x v="4"/>
    <x v="5"/>
    <n v="2473"/>
    <n v="277.11"/>
  </r>
  <r>
    <n v="1006"/>
    <x v="6"/>
    <x v="1"/>
    <x v="0"/>
    <x v="5"/>
    <x v="6"/>
    <n v="35385"/>
    <n v="6957.62"/>
  </r>
  <r>
    <n v="1007"/>
    <x v="7"/>
    <x v="1"/>
    <x v="0"/>
    <x v="6"/>
    <x v="7"/>
    <n v="22018"/>
    <n v="2027.66"/>
  </r>
  <r>
    <n v="1008"/>
    <x v="8"/>
    <x v="2"/>
    <x v="1"/>
    <x v="7"/>
    <x v="8"/>
    <n v="6031"/>
    <n v="1469.33"/>
  </r>
  <r>
    <n v="1009"/>
    <x v="9"/>
    <x v="3"/>
    <x v="1"/>
    <x v="7"/>
    <x v="9"/>
    <n v="22281"/>
    <n v="2129.1999999999998"/>
  </r>
  <r>
    <n v="1010"/>
    <x v="10"/>
    <x v="2"/>
    <x v="1"/>
    <x v="8"/>
    <x v="5"/>
    <n v="49436"/>
    <n v="9040.14"/>
  </r>
  <r>
    <n v="1011"/>
    <x v="11"/>
    <x v="1"/>
    <x v="1"/>
    <x v="7"/>
    <x v="10"/>
    <n v="22381"/>
    <n v="2858.73"/>
  </r>
  <r>
    <n v="1012"/>
    <x v="12"/>
    <x v="3"/>
    <x v="0"/>
    <x v="9"/>
    <x v="11"/>
    <n v="14028"/>
    <n v="1011.12"/>
  </r>
  <r>
    <n v="1013"/>
    <x v="13"/>
    <x v="3"/>
    <x v="0"/>
    <x v="9"/>
    <x v="12"/>
    <n v="27696"/>
    <n v="5284.17"/>
  </r>
  <r>
    <n v="1014"/>
    <x v="14"/>
    <x v="2"/>
    <x v="0"/>
    <x v="0"/>
    <x v="13"/>
    <n v="13669"/>
    <n v="2437.15"/>
  </r>
  <r>
    <n v="1015"/>
    <x v="15"/>
    <x v="1"/>
    <x v="1"/>
    <x v="8"/>
    <x v="14"/>
    <n v="46511"/>
    <n v="7880.66"/>
  </r>
  <r>
    <n v="1016"/>
    <x v="16"/>
    <x v="0"/>
    <x v="1"/>
    <x v="7"/>
    <x v="15"/>
    <n v="30744"/>
    <n v="5984.3"/>
  </r>
  <r>
    <n v="1017"/>
    <x v="17"/>
    <x v="0"/>
    <x v="1"/>
    <x v="10"/>
    <x v="16"/>
    <n v="21388"/>
    <n v="4050.92"/>
  </r>
  <r>
    <n v="1018"/>
    <x v="18"/>
    <x v="2"/>
    <x v="1"/>
    <x v="8"/>
    <x v="17"/>
    <n v="36121"/>
    <n v="5050.2700000000004"/>
  </r>
  <r>
    <n v="1019"/>
    <x v="19"/>
    <x v="2"/>
    <x v="2"/>
    <x v="11"/>
    <x v="18"/>
    <n v="3932"/>
    <n v="850.42"/>
  </r>
  <r>
    <n v="1020"/>
    <x v="20"/>
    <x v="2"/>
    <x v="1"/>
    <x v="8"/>
    <x v="19"/>
    <n v="31021"/>
    <n v="3596.69"/>
  </r>
  <r>
    <n v="1021"/>
    <x v="21"/>
    <x v="0"/>
    <x v="2"/>
    <x v="12"/>
    <x v="20"/>
    <n v="22922"/>
    <n v="1465.78"/>
  </r>
  <r>
    <n v="1022"/>
    <x v="22"/>
    <x v="2"/>
    <x v="2"/>
    <x v="2"/>
    <x v="0"/>
    <n v="57467"/>
    <n v="14102.16"/>
  </r>
  <r>
    <n v="1023"/>
    <x v="23"/>
    <x v="1"/>
    <x v="1"/>
    <x v="10"/>
    <x v="9"/>
    <n v="34356"/>
    <n v="3155.27"/>
  </r>
  <r>
    <n v="1024"/>
    <x v="24"/>
    <x v="0"/>
    <x v="1"/>
    <x v="4"/>
    <x v="21"/>
    <n v="25137"/>
    <n v="1538.16"/>
  </r>
  <r>
    <n v="1025"/>
    <x v="25"/>
    <x v="1"/>
    <x v="1"/>
    <x v="4"/>
    <x v="5"/>
    <n v="3381"/>
    <n v="317.88"/>
  </r>
  <r>
    <n v="1026"/>
    <x v="26"/>
    <x v="0"/>
    <x v="1"/>
    <x v="7"/>
    <x v="22"/>
    <n v="52372"/>
    <n v="11034.48"/>
  </r>
  <r>
    <n v="1027"/>
    <x v="27"/>
    <x v="0"/>
    <x v="0"/>
    <x v="0"/>
    <x v="23"/>
    <n v="21117"/>
    <n v="4748.3100000000004"/>
  </r>
  <r>
    <n v="1028"/>
    <x v="28"/>
    <x v="1"/>
    <x v="1"/>
    <x v="1"/>
    <x v="4"/>
    <n v="23542"/>
    <n v="3347.14"/>
  </r>
  <r>
    <n v="1029"/>
    <x v="26"/>
    <x v="0"/>
    <x v="0"/>
    <x v="0"/>
    <x v="1"/>
    <n v="38714"/>
    <n v="7616.65"/>
  </r>
  <r>
    <n v="1030"/>
    <x v="29"/>
    <x v="1"/>
    <x v="2"/>
    <x v="12"/>
    <x v="24"/>
    <n v="21394"/>
    <n v="1242.25"/>
  </r>
  <r>
    <n v="1031"/>
    <x v="30"/>
    <x v="0"/>
    <x v="0"/>
    <x v="5"/>
    <x v="25"/>
    <n v="36161"/>
    <n v="4443.2700000000004"/>
  </r>
  <r>
    <n v="1032"/>
    <x v="31"/>
    <x v="2"/>
    <x v="2"/>
    <x v="2"/>
    <x v="26"/>
    <n v="35232"/>
    <n v="6427.04"/>
  </r>
  <r>
    <n v="1033"/>
    <x v="32"/>
    <x v="0"/>
    <x v="0"/>
    <x v="9"/>
    <x v="27"/>
    <n v="11238"/>
    <n v="1023.85"/>
  </r>
  <r>
    <n v="1034"/>
    <x v="33"/>
    <x v="0"/>
    <x v="1"/>
    <x v="7"/>
    <x v="28"/>
    <n v="49635"/>
    <n v="2504.27"/>
  </r>
  <r>
    <n v="1035"/>
    <x v="34"/>
    <x v="2"/>
    <x v="1"/>
    <x v="7"/>
    <x v="29"/>
    <n v="10690"/>
    <n v="2343.5"/>
  </r>
  <r>
    <n v="1036"/>
    <x v="35"/>
    <x v="3"/>
    <x v="0"/>
    <x v="3"/>
    <x v="30"/>
    <n v="38864"/>
    <n v="3943.07"/>
  </r>
  <r>
    <n v="1037"/>
    <x v="36"/>
    <x v="3"/>
    <x v="0"/>
    <x v="9"/>
    <x v="31"/>
    <n v="48818"/>
    <n v="8242.2000000000007"/>
  </r>
  <r>
    <n v="1038"/>
    <x v="37"/>
    <x v="1"/>
    <x v="0"/>
    <x v="0"/>
    <x v="32"/>
    <n v="20002"/>
    <n v="1129.75"/>
  </r>
  <r>
    <n v="1039"/>
    <x v="38"/>
    <x v="3"/>
    <x v="2"/>
    <x v="11"/>
    <x v="33"/>
    <n v="16802"/>
    <n v="1416.11"/>
  </r>
  <r>
    <n v="1040"/>
    <x v="39"/>
    <x v="3"/>
    <x v="0"/>
    <x v="5"/>
    <x v="34"/>
    <n v="16780"/>
    <n v="2014.01"/>
  </r>
  <r>
    <n v="1041"/>
    <x v="40"/>
    <x v="3"/>
    <x v="0"/>
    <x v="5"/>
    <x v="35"/>
    <n v="38139"/>
    <n v="8076.27"/>
  </r>
  <r>
    <n v="1042"/>
    <x v="12"/>
    <x v="2"/>
    <x v="0"/>
    <x v="5"/>
    <x v="1"/>
    <n v="13308"/>
    <n v="1111.2"/>
  </r>
  <r>
    <n v="1043"/>
    <x v="41"/>
    <x v="2"/>
    <x v="2"/>
    <x v="2"/>
    <x v="36"/>
    <n v="13817"/>
    <n v="3352.59"/>
  </r>
  <r>
    <n v="1044"/>
    <x v="42"/>
    <x v="0"/>
    <x v="0"/>
    <x v="0"/>
    <x v="21"/>
    <n v="36533"/>
    <n v="9010.16"/>
  </r>
  <r>
    <n v="1045"/>
    <x v="43"/>
    <x v="2"/>
    <x v="1"/>
    <x v="10"/>
    <x v="37"/>
    <n v="23714"/>
    <n v="2215.31"/>
  </r>
  <r>
    <n v="1046"/>
    <x v="44"/>
    <x v="3"/>
    <x v="2"/>
    <x v="13"/>
    <x v="38"/>
    <n v="34827"/>
    <n v="3185.29"/>
  </r>
  <r>
    <n v="1047"/>
    <x v="45"/>
    <x v="1"/>
    <x v="2"/>
    <x v="12"/>
    <x v="37"/>
    <n v="59243"/>
    <n v="6378.22"/>
  </r>
  <r>
    <n v="1048"/>
    <x v="46"/>
    <x v="1"/>
    <x v="0"/>
    <x v="5"/>
    <x v="39"/>
    <n v="18647"/>
    <n v="4251.83"/>
  </r>
  <r>
    <n v="1049"/>
    <x v="47"/>
    <x v="0"/>
    <x v="1"/>
    <x v="10"/>
    <x v="40"/>
    <n v="14000"/>
    <n v="2997.73"/>
  </r>
  <r>
    <n v="1050"/>
    <x v="48"/>
    <x v="2"/>
    <x v="1"/>
    <x v="7"/>
    <x v="41"/>
    <n v="5098"/>
    <n v="346.92"/>
  </r>
  <r>
    <n v="1051"/>
    <x v="49"/>
    <x v="0"/>
    <x v="0"/>
    <x v="3"/>
    <x v="34"/>
    <n v="51408"/>
    <n v="6103.69"/>
  </r>
  <r>
    <n v="1052"/>
    <x v="50"/>
    <x v="2"/>
    <x v="0"/>
    <x v="5"/>
    <x v="22"/>
    <n v="20842"/>
    <n v="3606.4"/>
  </r>
  <r>
    <n v="1053"/>
    <x v="51"/>
    <x v="3"/>
    <x v="2"/>
    <x v="14"/>
    <x v="22"/>
    <n v="20388"/>
    <n v="1421.59"/>
  </r>
  <r>
    <n v="1054"/>
    <x v="52"/>
    <x v="0"/>
    <x v="1"/>
    <x v="10"/>
    <x v="40"/>
    <n v="52012"/>
    <n v="10768.81"/>
  </r>
  <r>
    <n v="1055"/>
    <x v="53"/>
    <x v="1"/>
    <x v="1"/>
    <x v="8"/>
    <x v="42"/>
    <n v="957"/>
    <n v="66.58"/>
  </r>
  <r>
    <n v="1056"/>
    <x v="54"/>
    <x v="2"/>
    <x v="2"/>
    <x v="2"/>
    <x v="43"/>
    <n v="2832"/>
    <n v="423.76"/>
  </r>
  <r>
    <n v="1057"/>
    <x v="55"/>
    <x v="2"/>
    <x v="2"/>
    <x v="14"/>
    <x v="44"/>
    <n v="20707"/>
    <n v="1521.02"/>
  </r>
  <r>
    <n v="1058"/>
    <x v="56"/>
    <x v="3"/>
    <x v="2"/>
    <x v="2"/>
    <x v="45"/>
    <n v="26427"/>
    <n v="5020.2299999999996"/>
  </r>
  <r>
    <n v="1059"/>
    <x v="57"/>
    <x v="1"/>
    <x v="1"/>
    <x v="1"/>
    <x v="46"/>
    <n v="3467"/>
    <n v="308.41000000000003"/>
  </r>
  <r>
    <n v="1060"/>
    <x v="58"/>
    <x v="0"/>
    <x v="1"/>
    <x v="8"/>
    <x v="47"/>
    <n v="12847"/>
    <n v="2710.2"/>
  </r>
  <r>
    <n v="1061"/>
    <x v="59"/>
    <x v="2"/>
    <x v="2"/>
    <x v="14"/>
    <x v="48"/>
    <n v="58595"/>
    <n v="7982.96"/>
  </r>
  <r>
    <n v="1062"/>
    <x v="60"/>
    <x v="0"/>
    <x v="0"/>
    <x v="6"/>
    <x v="49"/>
    <n v="57320"/>
    <n v="6308.56"/>
  </r>
  <r>
    <n v="1063"/>
    <x v="20"/>
    <x v="2"/>
    <x v="0"/>
    <x v="0"/>
    <x v="2"/>
    <n v="49459"/>
    <n v="9562.69"/>
  </r>
  <r>
    <n v="1064"/>
    <x v="61"/>
    <x v="1"/>
    <x v="2"/>
    <x v="11"/>
    <x v="50"/>
    <n v="4257"/>
    <n v="612.99"/>
  </r>
  <r>
    <n v="1065"/>
    <x v="62"/>
    <x v="3"/>
    <x v="1"/>
    <x v="8"/>
    <x v="11"/>
    <n v="33974"/>
    <n v="1987.37"/>
  </r>
  <r>
    <n v="1066"/>
    <x v="63"/>
    <x v="0"/>
    <x v="2"/>
    <x v="14"/>
    <x v="10"/>
    <n v="33006"/>
    <n v="4985.88"/>
  </r>
  <r>
    <n v="1067"/>
    <x v="64"/>
    <x v="1"/>
    <x v="1"/>
    <x v="10"/>
    <x v="14"/>
    <n v="45974"/>
    <n v="11369.33"/>
  </r>
  <r>
    <n v="1068"/>
    <x v="65"/>
    <x v="0"/>
    <x v="2"/>
    <x v="2"/>
    <x v="51"/>
    <n v="51327"/>
    <n v="2749.91"/>
  </r>
  <r>
    <n v="1069"/>
    <x v="66"/>
    <x v="1"/>
    <x v="2"/>
    <x v="2"/>
    <x v="21"/>
    <n v="6371"/>
    <n v="1316.07"/>
  </r>
  <r>
    <n v="1070"/>
    <x v="19"/>
    <x v="0"/>
    <x v="2"/>
    <x v="12"/>
    <x v="17"/>
    <n v="23621"/>
    <n v="2364.67"/>
  </r>
  <r>
    <n v="1071"/>
    <x v="67"/>
    <x v="2"/>
    <x v="2"/>
    <x v="11"/>
    <x v="52"/>
    <n v="1118"/>
    <n v="246.49"/>
  </r>
  <r>
    <n v="1072"/>
    <x v="68"/>
    <x v="3"/>
    <x v="2"/>
    <x v="2"/>
    <x v="53"/>
    <n v="56356"/>
    <n v="8567.36"/>
  </r>
  <r>
    <n v="1073"/>
    <x v="69"/>
    <x v="2"/>
    <x v="2"/>
    <x v="2"/>
    <x v="38"/>
    <n v="612"/>
    <n v="84.05"/>
  </r>
  <r>
    <n v="1074"/>
    <x v="70"/>
    <x v="3"/>
    <x v="1"/>
    <x v="7"/>
    <x v="26"/>
    <n v="42115"/>
    <n v="8121.26"/>
  </r>
  <r>
    <n v="1075"/>
    <x v="71"/>
    <x v="0"/>
    <x v="0"/>
    <x v="5"/>
    <x v="15"/>
    <n v="2954"/>
    <n v="455.66"/>
  </r>
  <r>
    <n v="1076"/>
    <x v="72"/>
    <x v="0"/>
    <x v="1"/>
    <x v="10"/>
    <x v="36"/>
    <n v="5232"/>
    <n v="1266.6500000000001"/>
  </r>
  <r>
    <n v="1077"/>
    <x v="73"/>
    <x v="1"/>
    <x v="0"/>
    <x v="3"/>
    <x v="54"/>
    <n v="53566"/>
    <n v="3032.26"/>
  </r>
  <r>
    <n v="1078"/>
    <x v="20"/>
    <x v="2"/>
    <x v="1"/>
    <x v="10"/>
    <x v="55"/>
    <n v="25379"/>
    <n v="5397.45"/>
  </r>
  <r>
    <n v="1079"/>
    <x v="74"/>
    <x v="3"/>
    <x v="1"/>
    <x v="4"/>
    <x v="9"/>
    <n v="953"/>
    <n v="106.45"/>
  </r>
  <r>
    <n v="1080"/>
    <x v="75"/>
    <x v="1"/>
    <x v="0"/>
    <x v="5"/>
    <x v="12"/>
    <n v="56140"/>
    <n v="13069.82"/>
  </r>
  <r>
    <n v="1081"/>
    <x v="76"/>
    <x v="1"/>
    <x v="0"/>
    <x v="3"/>
    <x v="17"/>
    <n v="21302"/>
    <n v="2976.26"/>
  </r>
  <r>
    <n v="1082"/>
    <x v="0"/>
    <x v="0"/>
    <x v="0"/>
    <x v="5"/>
    <x v="56"/>
    <n v="44717"/>
    <n v="8899.94"/>
  </r>
  <r>
    <n v="1083"/>
    <x v="77"/>
    <x v="1"/>
    <x v="1"/>
    <x v="10"/>
    <x v="57"/>
    <n v="1778"/>
    <n v="356.76"/>
  </r>
  <r>
    <n v="1084"/>
    <x v="18"/>
    <x v="1"/>
    <x v="2"/>
    <x v="12"/>
    <x v="58"/>
    <n v="10060"/>
    <n v="1854.15"/>
  </r>
  <r>
    <n v="1085"/>
    <x v="78"/>
    <x v="0"/>
    <x v="2"/>
    <x v="13"/>
    <x v="59"/>
    <n v="58878"/>
    <n v="10063.26"/>
  </r>
  <r>
    <n v="1086"/>
    <x v="79"/>
    <x v="1"/>
    <x v="2"/>
    <x v="14"/>
    <x v="60"/>
    <n v="49846"/>
    <n v="3610.32"/>
  </r>
  <r>
    <n v="1087"/>
    <x v="80"/>
    <x v="2"/>
    <x v="0"/>
    <x v="3"/>
    <x v="61"/>
    <n v="20610"/>
    <n v="4546.68"/>
  </r>
  <r>
    <n v="1088"/>
    <x v="23"/>
    <x v="1"/>
    <x v="2"/>
    <x v="11"/>
    <x v="62"/>
    <n v="23618"/>
    <n v="2834.28"/>
  </r>
  <r>
    <n v="1089"/>
    <x v="11"/>
    <x v="2"/>
    <x v="1"/>
    <x v="1"/>
    <x v="47"/>
    <n v="50206"/>
    <n v="11104.04"/>
  </r>
  <r>
    <n v="1090"/>
    <x v="62"/>
    <x v="0"/>
    <x v="2"/>
    <x v="2"/>
    <x v="63"/>
    <n v="48739"/>
    <n v="9698.66"/>
  </r>
  <r>
    <n v="1091"/>
    <x v="81"/>
    <x v="2"/>
    <x v="2"/>
    <x v="14"/>
    <x v="49"/>
    <n v="58497"/>
    <n v="13483.8"/>
  </r>
  <r>
    <n v="1092"/>
    <x v="82"/>
    <x v="2"/>
    <x v="1"/>
    <x v="4"/>
    <x v="64"/>
    <n v="7576"/>
    <n v="1176.6400000000001"/>
  </r>
  <r>
    <n v="1093"/>
    <x v="83"/>
    <x v="1"/>
    <x v="2"/>
    <x v="12"/>
    <x v="55"/>
    <n v="59829"/>
    <n v="11027.31"/>
  </r>
  <r>
    <n v="1094"/>
    <x v="4"/>
    <x v="2"/>
    <x v="0"/>
    <x v="3"/>
    <x v="65"/>
    <n v="27073"/>
    <n v="1360.86"/>
  </r>
  <r>
    <n v="1095"/>
    <x v="19"/>
    <x v="2"/>
    <x v="1"/>
    <x v="1"/>
    <x v="52"/>
    <n v="58210"/>
    <n v="4933.16"/>
  </r>
  <r>
    <n v="1096"/>
    <x v="84"/>
    <x v="2"/>
    <x v="0"/>
    <x v="6"/>
    <x v="43"/>
    <n v="51263"/>
    <n v="8397.6299999999992"/>
  </r>
  <r>
    <n v="1097"/>
    <x v="19"/>
    <x v="3"/>
    <x v="0"/>
    <x v="6"/>
    <x v="52"/>
    <n v="35469"/>
    <n v="7649.77"/>
  </r>
  <r>
    <n v="1098"/>
    <x v="33"/>
    <x v="0"/>
    <x v="2"/>
    <x v="14"/>
    <x v="66"/>
    <n v="33102"/>
    <n v="5332.73"/>
  </r>
  <r>
    <n v="1099"/>
    <x v="30"/>
    <x v="2"/>
    <x v="1"/>
    <x v="10"/>
    <x v="67"/>
    <n v="12818"/>
    <n v="3180.05"/>
  </r>
  <r>
    <n v="1100"/>
    <x v="85"/>
    <x v="1"/>
    <x v="0"/>
    <x v="3"/>
    <x v="47"/>
    <n v="23021"/>
    <n v="4109.05"/>
  </r>
  <r>
    <n v="1101"/>
    <x v="86"/>
    <x v="3"/>
    <x v="0"/>
    <x v="0"/>
    <x v="2"/>
    <n v="6131"/>
    <n v="829.5"/>
  </r>
  <r>
    <n v="1102"/>
    <x v="87"/>
    <x v="3"/>
    <x v="1"/>
    <x v="1"/>
    <x v="21"/>
    <n v="41991"/>
    <n v="9703.89"/>
  </r>
  <r>
    <n v="1103"/>
    <x v="88"/>
    <x v="3"/>
    <x v="0"/>
    <x v="6"/>
    <x v="25"/>
    <n v="45408"/>
    <n v="2567.09"/>
  </r>
  <r>
    <n v="1104"/>
    <x v="89"/>
    <x v="3"/>
    <x v="0"/>
    <x v="9"/>
    <x v="47"/>
    <n v="7863"/>
    <n v="622.35"/>
  </r>
  <r>
    <n v="1105"/>
    <x v="90"/>
    <x v="2"/>
    <x v="1"/>
    <x v="7"/>
    <x v="20"/>
    <n v="13069"/>
    <n v="2680.24"/>
  </r>
  <r>
    <n v="1106"/>
    <x v="91"/>
    <x v="2"/>
    <x v="2"/>
    <x v="13"/>
    <x v="50"/>
    <n v="48911"/>
    <n v="11982.27"/>
  </r>
  <r>
    <n v="1107"/>
    <x v="92"/>
    <x v="0"/>
    <x v="1"/>
    <x v="7"/>
    <x v="29"/>
    <n v="53373"/>
    <n v="12868.12"/>
  </r>
  <r>
    <n v="1108"/>
    <x v="93"/>
    <x v="3"/>
    <x v="1"/>
    <x v="1"/>
    <x v="42"/>
    <n v="18401"/>
    <n v="3158.58"/>
  </r>
  <r>
    <n v="1109"/>
    <x v="94"/>
    <x v="2"/>
    <x v="0"/>
    <x v="3"/>
    <x v="68"/>
    <n v="42205"/>
    <n v="4856.3999999999996"/>
  </r>
  <r>
    <n v="1110"/>
    <x v="95"/>
    <x v="1"/>
    <x v="1"/>
    <x v="4"/>
    <x v="27"/>
    <n v="33586"/>
    <n v="2687.04"/>
  </r>
  <r>
    <n v="1111"/>
    <x v="96"/>
    <x v="0"/>
    <x v="0"/>
    <x v="6"/>
    <x v="69"/>
    <n v="38623"/>
    <n v="8866.7999999999993"/>
  </r>
  <r>
    <n v="1112"/>
    <x v="97"/>
    <x v="0"/>
    <x v="2"/>
    <x v="11"/>
    <x v="70"/>
    <n v="2229"/>
    <n v="539.45000000000005"/>
  </r>
  <r>
    <n v="1113"/>
    <x v="28"/>
    <x v="3"/>
    <x v="0"/>
    <x v="6"/>
    <x v="71"/>
    <n v="4017"/>
    <n v="956.51"/>
  </r>
  <r>
    <n v="1114"/>
    <x v="98"/>
    <x v="3"/>
    <x v="1"/>
    <x v="4"/>
    <x v="55"/>
    <n v="5886"/>
    <n v="707.21"/>
  </r>
  <r>
    <n v="1115"/>
    <x v="99"/>
    <x v="0"/>
    <x v="0"/>
    <x v="0"/>
    <x v="28"/>
    <n v="53995"/>
    <n v="4219.8599999999997"/>
  </r>
  <r>
    <n v="1116"/>
    <x v="100"/>
    <x v="2"/>
    <x v="1"/>
    <x v="8"/>
    <x v="11"/>
    <n v="42186"/>
    <n v="9840.9"/>
  </r>
  <r>
    <n v="1117"/>
    <x v="101"/>
    <x v="0"/>
    <x v="2"/>
    <x v="13"/>
    <x v="49"/>
    <n v="52279"/>
    <n v="11199.03"/>
  </r>
  <r>
    <n v="1118"/>
    <x v="71"/>
    <x v="3"/>
    <x v="1"/>
    <x v="7"/>
    <x v="47"/>
    <n v="47223"/>
    <n v="9448.7999999999993"/>
  </r>
  <r>
    <n v="1119"/>
    <x v="102"/>
    <x v="2"/>
    <x v="0"/>
    <x v="0"/>
    <x v="62"/>
    <n v="37694"/>
    <n v="5276.25"/>
  </r>
  <r>
    <n v="1120"/>
    <x v="103"/>
    <x v="0"/>
    <x v="1"/>
    <x v="4"/>
    <x v="72"/>
    <n v="32497"/>
    <n v="5238.55"/>
  </r>
  <r>
    <n v="1121"/>
    <x v="104"/>
    <x v="0"/>
    <x v="0"/>
    <x v="6"/>
    <x v="67"/>
    <n v="17318"/>
    <n v="2249.59"/>
  </r>
  <r>
    <n v="1122"/>
    <x v="6"/>
    <x v="2"/>
    <x v="0"/>
    <x v="5"/>
    <x v="15"/>
    <n v="31408"/>
    <n v="3699.53"/>
  </r>
  <r>
    <n v="1123"/>
    <x v="105"/>
    <x v="1"/>
    <x v="0"/>
    <x v="9"/>
    <x v="11"/>
    <n v="32759"/>
    <n v="7196.89"/>
  </r>
  <r>
    <n v="1124"/>
    <x v="106"/>
    <x v="2"/>
    <x v="2"/>
    <x v="13"/>
    <x v="61"/>
    <n v="11322"/>
    <n v="1508.93"/>
  </r>
  <r>
    <n v="1125"/>
    <x v="107"/>
    <x v="3"/>
    <x v="0"/>
    <x v="5"/>
    <x v="38"/>
    <n v="18757"/>
    <n v="3159.62"/>
  </r>
  <r>
    <n v="1126"/>
    <x v="92"/>
    <x v="1"/>
    <x v="0"/>
    <x v="6"/>
    <x v="73"/>
    <n v="32553"/>
    <n v="3504.56"/>
  </r>
  <r>
    <n v="1127"/>
    <x v="17"/>
    <x v="3"/>
    <x v="2"/>
    <x v="14"/>
    <x v="54"/>
    <n v="55980"/>
    <n v="13952.47"/>
  </r>
  <r>
    <n v="1128"/>
    <x v="17"/>
    <x v="2"/>
    <x v="2"/>
    <x v="11"/>
    <x v="74"/>
    <n v="56594"/>
    <n v="10489.59"/>
  </r>
  <r>
    <n v="1129"/>
    <x v="108"/>
    <x v="1"/>
    <x v="2"/>
    <x v="2"/>
    <x v="35"/>
    <n v="5725"/>
    <n v="1116.7"/>
  </r>
  <r>
    <n v="1130"/>
    <x v="109"/>
    <x v="1"/>
    <x v="2"/>
    <x v="12"/>
    <x v="75"/>
    <n v="30871"/>
    <n v="2128.04"/>
  </r>
  <r>
    <n v="1131"/>
    <x v="110"/>
    <x v="3"/>
    <x v="2"/>
    <x v="13"/>
    <x v="11"/>
    <n v="24749"/>
    <n v="4502.28"/>
  </r>
  <r>
    <n v="1132"/>
    <x v="111"/>
    <x v="1"/>
    <x v="1"/>
    <x v="4"/>
    <x v="74"/>
    <n v="28951"/>
    <n v="4550.2"/>
  </r>
  <r>
    <n v="1133"/>
    <x v="112"/>
    <x v="0"/>
    <x v="2"/>
    <x v="13"/>
    <x v="76"/>
    <n v="48435"/>
    <n v="3385.2"/>
  </r>
  <r>
    <n v="1134"/>
    <x v="113"/>
    <x v="2"/>
    <x v="2"/>
    <x v="2"/>
    <x v="25"/>
    <n v="33558"/>
    <n v="6902.37"/>
  </r>
  <r>
    <n v="1135"/>
    <x v="63"/>
    <x v="0"/>
    <x v="0"/>
    <x v="3"/>
    <x v="35"/>
    <n v="26540"/>
    <n v="2126.7600000000002"/>
  </r>
  <r>
    <n v="1136"/>
    <x v="114"/>
    <x v="0"/>
    <x v="1"/>
    <x v="10"/>
    <x v="77"/>
    <n v="30175"/>
    <n v="2312.37"/>
  </r>
  <r>
    <n v="1137"/>
    <x v="10"/>
    <x v="1"/>
    <x v="2"/>
    <x v="13"/>
    <x v="27"/>
    <n v="24951"/>
    <n v="4133.54"/>
  </r>
  <r>
    <n v="1138"/>
    <x v="67"/>
    <x v="0"/>
    <x v="1"/>
    <x v="7"/>
    <x v="77"/>
    <n v="56720"/>
    <n v="7886.67"/>
  </r>
  <r>
    <n v="1139"/>
    <x v="115"/>
    <x v="3"/>
    <x v="2"/>
    <x v="11"/>
    <x v="1"/>
    <n v="32819"/>
    <n v="3460.31"/>
  </r>
  <r>
    <n v="1140"/>
    <x v="116"/>
    <x v="2"/>
    <x v="1"/>
    <x v="10"/>
    <x v="10"/>
    <n v="17926"/>
    <n v="1655.02"/>
  </r>
  <r>
    <n v="1141"/>
    <x v="117"/>
    <x v="1"/>
    <x v="2"/>
    <x v="12"/>
    <x v="18"/>
    <n v="39334"/>
    <n v="8784.01"/>
  </r>
  <r>
    <n v="1142"/>
    <x v="61"/>
    <x v="3"/>
    <x v="0"/>
    <x v="5"/>
    <x v="53"/>
    <n v="12788"/>
    <n v="752.96"/>
  </r>
  <r>
    <n v="1143"/>
    <x v="35"/>
    <x v="1"/>
    <x v="2"/>
    <x v="11"/>
    <x v="56"/>
    <n v="52777"/>
    <n v="8314.57"/>
  </r>
  <r>
    <n v="1144"/>
    <x v="118"/>
    <x v="3"/>
    <x v="0"/>
    <x v="3"/>
    <x v="76"/>
    <n v="21131"/>
    <n v="4543.04"/>
  </r>
  <r>
    <n v="1145"/>
    <x v="119"/>
    <x v="3"/>
    <x v="2"/>
    <x v="2"/>
    <x v="52"/>
    <n v="34852"/>
    <n v="2485.25"/>
  </r>
  <r>
    <n v="1146"/>
    <x v="120"/>
    <x v="1"/>
    <x v="0"/>
    <x v="0"/>
    <x v="59"/>
    <n v="36836"/>
    <n v="4519.9399999999996"/>
  </r>
  <r>
    <n v="1147"/>
    <x v="121"/>
    <x v="0"/>
    <x v="0"/>
    <x v="3"/>
    <x v="44"/>
    <n v="44742"/>
    <n v="3210.54"/>
  </r>
  <r>
    <n v="1148"/>
    <x v="121"/>
    <x v="0"/>
    <x v="0"/>
    <x v="9"/>
    <x v="4"/>
    <n v="46685"/>
    <n v="9326.3799999999992"/>
  </r>
  <r>
    <n v="1149"/>
    <x v="122"/>
    <x v="3"/>
    <x v="2"/>
    <x v="14"/>
    <x v="20"/>
    <n v="49219"/>
    <n v="3160.56"/>
  </r>
  <r>
    <n v="1150"/>
    <x v="35"/>
    <x v="3"/>
    <x v="0"/>
    <x v="6"/>
    <x v="27"/>
    <n v="31470"/>
    <n v="6025.08"/>
  </r>
  <r>
    <n v="1151"/>
    <x v="123"/>
    <x v="3"/>
    <x v="1"/>
    <x v="8"/>
    <x v="78"/>
    <n v="48741"/>
    <n v="8211.2999999999993"/>
  </r>
  <r>
    <n v="1152"/>
    <x v="124"/>
    <x v="1"/>
    <x v="2"/>
    <x v="2"/>
    <x v="62"/>
    <n v="47470"/>
    <n v="8690.86"/>
  </r>
  <r>
    <n v="1153"/>
    <x v="125"/>
    <x v="2"/>
    <x v="1"/>
    <x v="7"/>
    <x v="77"/>
    <n v="4122"/>
    <n v="566.07000000000005"/>
  </r>
  <r>
    <n v="1154"/>
    <x v="2"/>
    <x v="3"/>
    <x v="2"/>
    <x v="12"/>
    <x v="72"/>
    <n v="15176"/>
    <n v="1600.31"/>
  </r>
  <r>
    <n v="1155"/>
    <x v="27"/>
    <x v="0"/>
    <x v="2"/>
    <x v="13"/>
    <x v="57"/>
    <n v="54870"/>
    <n v="3453.85"/>
  </r>
  <r>
    <n v="1156"/>
    <x v="126"/>
    <x v="1"/>
    <x v="2"/>
    <x v="12"/>
    <x v="23"/>
    <n v="44566"/>
    <n v="3668.35"/>
  </r>
  <r>
    <n v="1157"/>
    <x v="127"/>
    <x v="2"/>
    <x v="0"/>
    <x v="3"/>
    <x v="79"/>
    <n v="20953"/>
    <n v="1484.14"/>
  </r>
  <r>
    <n v="1158"/>
    <x v="39"/>
    <x v="2"/>
    <x v="1"/>
    <x v="4"/>
    <x v="5"/>
    <n v="23450"/>
    <n v="3725.18"/>
  </r>
  <r>
    <n v="1159"/>
    <x v="128"/>
    <x v="3"/>
    <x v="1"/>
    <x v="8"/>
    <x v="9"/>
    <n v="21037"/>
    <n v="2261.5300000000002"/>
  </r>
  <r>
    <n v="1160"/>
    <x v="129"/>
    <x v="1"/>
    <x v="0"/>
    <x v="0"/>
    <x v="37"/>
    <n v="25320"/>
    <n v="2556.0100000000002"/>
  </r>
  <r>
    <n v="1161"/>
    <x v="31"/>
    <x v="0"/>
    <x v="1"/>
    <x v="4"/>
    <x v="55"/>
    <n v="42358"/>
    <n v="4176.93"/>
  </r>
  <r>
    <n v="1162"/>
    <x v="130"/>
    <x v="0"/>
    <x v="2"/>
    <x v="12"/>
    <x v="64"/>
    <n v="26171"/>
    <n v="3922.44"/>
  </r>
  <r>
    <n v="1163"/>
    <x v="38"/>
    <x v="1"/>
    <x v="1"/>
    <x v="7"/>
    <x v="7"/>
    <n v="27139"/>
    <n v="1380.2"/>
  </r>
  <r>
    <n v="1164"/>
    <x v="131"/>
    <x v="2"/>
    <x v="2"/>
    <x v="11"/>
    <x v="30"/>
    <n v="35656"/>
    <n v="4048.01"/>
  </r>
  <r>
    <n v="1165"/>
    <x v="90"/>
    <x v="1"/>
    <x v="1"/>
    <x v="1"/>
    <x v="46"/>
    <n v="20977"/>
    <n v="4531.8"/>
  </r>
  <r>
    <n v="1166"/>
    <x v="132"/>
    <x v="0"/>
    <x v="1"/>
    <x v="10"/>
    <x v="18"/>
    <n v="57685"/>
    <n v="8856.2999999999993"/>
  </r>
  <r>
    <n v="1167"/>
    <x v="60"/>
    <x v="0"/>
    <x v="2"/>
    <x v="2"/>
    <x v="72"/>
    <n v="47334"/>
    <n v="9586.49"/>
  </r>
  <r>
    <n v="1168"/>
    <x v="133"/>
    <x v="0"/>
    <x v="0"/>
    <x v="0"/>
    <x v="75"/>
    <n v="55847"/>
    <n v="7533.46"/>
  </r>
  <r>
    <n v="1169"/>
    <x v="56"/>
    <x v="2"/>
    <x v="0"/>
    <x v="5"/>
    <x v="4"/>
    <n v="884"/>
    <n v="194.37"/>
  </r>
  <r>
    <n v="1170"/>
    <x v="132"/>
    <x v="3"/>
    <x v="0"/>
    <x v="6"/>
    <x v="59"/>
    <n v="1523"/>
    <n v="333.71"/>
  </r>
  <r>
    <n v="1171"/>
    <x v="134"/>
    <x v="1"/>
    <x v="1"/>
    <x v="4"/>
    <x v="80"/>
    <n v="14105"/>
    <n v="1529.57"/>
  </r>
  <r>
    <n v="1172"/>
    <x v="135"/>
    <x v="0"/>
    <x v="0"/>
    <x v="9"/>
    <x v="9"/>
    <n v="4862"/>
    <n v="1086.0999999999999"/>
  </r>
  <r>
    <n v="1173"/>
    <x v="136"/>
    <x v="2"/>
    <x v="0"/>
    <x v="3"/>
    <x v="15"/>
    <n v="35909"/>
    <n v="6101.16"/>
  </r>
  <r>
    <n v="1174"/>
    <x v="137"/>
    <x v="2"/>
    <x v="0"/>
    <x v="6"/>
    <x v="8"/>
    <n v="49525"/>
    <n v="11084.37"/>
  </r>
  <r>
    <n v="1175"/>
    <x v="138"/>
    <x v="2"/>
    <x v="1"/>
    <x v="1"/>
    <x v="49"/>
    <n v="26267"/>
    <n v="3915.77"/>
  </r>
  <r>
    <n v="1176"/>
    <x v="139"/>
    <x v="2"/>
    <x v="2"/>
    <x v="14"/>
    <x v="53"/>
    <n v="41650"/>
    <n v="4013.05"/>
  </r>
  <r>
    <n v="1177"/>
    <x v="140"/>
    <x v="0"/>
    <x v="2"/>
    <x v="13"/>
    <x v="81"/>
    <n v="40257"/>
    <n v="5664.03"/>
  </r>
  <r>
    <n v="1178"/>
    <x v="141"/>
    <x v="3"/>
    <x v="1"/>
    <x v="10"/>
    <x v="23"/>
    <n v="23445"/>
    <n v="1550.5"/>
  </r>
  <r>
    <n v="1179"/>
    <x v="142"/>
    <x v="3"/>
    <x v="0"/>
    <x v="0"/>
    <x v="81"/>
    <n v="28318"/>
    <n v="1608.88"/>
  </r>
  <r>
    <n v="1180"/>
    <x v="97"/>
    <x v="0"/>
    <x v="1"/>
    <x v="10"/>
    <x v="82"/>
    <n v="42390"/>
    <n v="5715.51"/>
  </r>
  <r>
    <n v="1181"/>
    <x v="143"/>
    <x v="0"/>
    <x v="0"/>
    <x v="0"/>
    <x v="83"/>
    <n v="11199"/>
    <n v="635.41999999999996"/>
  </r>
  <r>
    <n v="1182"/>
    <x v="117"/>
    <x v="3"/>
    <x v="2"/>
    <x v="2"/>
    <x v="21"/>
    <n v="24657"/>
    <n v="5904.37"/>
  </r>
  <r>
    <n v="1183"/>
    <x v="61"/>
    <x v="0"/>
    <x v="1"/>
    <x v="10"/>
    <x v="7"/>
    <n v="17720"/>
    <n v="3190.28"/>
  </r>
  <r>
    <n v="1184"/>
    <x v="119"/>
    <x v="0"/>
    <x v="0"/>
    <x v="9"/>
    <x v="81"/>
    <n v="44695"/>
    <n v="2738.71"/>
  </r>
  <r>
    <n v="1185"/>
    <x v="144"/>
    <x v="1"/>
    <x v="1"/>
    <x v="7"/>
    <x v="54"/>
    <n v="3517"/>
    <n v="438.47"/>
  </r>
  <r>
    <n v="1186"/>
    <x v="136"/>
    <x v="2"/>
    <x v="1"/>
    <x v="7"/>
    <x v="37"/>
    <n v="23264"/>
    <n v="5662.74"/>
  </r>
  <r>
    <n v="1187"/>
    <x v="145"/>
    <x v="0"/>
    <x v="2"/>
    <x v="13"/>
    <x v="0"/>
    <n v="52465"/>
    <n v="9514.64"/>
  </r>
  <r>
    <n v="1188"/>
    <x v="146"/>
    <x v="1"/>
    <x v="1"/>
    <x v="7"/>
    <x v="55"/>
    <n v="12770"/>
    <n v="2236.9"/>
  </r>
  <r>
    <n v="1189"/>
    <x v="65"/>
    <x v="2"/>
    <x v="1"/>
    <x v="10"/>
    <x v="57"/>
    <n v="39275"/>
    <n v="4048.56"/>
  </r>
  <r>
    <n v="1190"/>
    <x v="147"/>
    <x v="1"/>
    <x v="0"/>
    <x v="6"/>
    <x v="5"/>
    <n v="40972"/>
    <n v="5894.48"/>
  </r>
  <r>
    <n v="1191"/>
    <x v="148"/>
    <x v="3"/>
    <x v="1"/>
    <x v="7"/>
    <x v="23"/>
    <n v="14666"/>
    <n v="2021.99"/>
  </r>
  <r>
    <n v="1192"/>
    <x v="149"/>
    <x v="3"/>
    <x v="1"/>
    <x v="4"/>
    <x v="36"/>
    <n v="20901"/>
    <n v="1586.37"/>
  </r>
  <r>
    <n v="1193"/>
    <x v="150"/>
    <x v="3"/>
    <x v="2"/>
    <x v="12"/>
    <x v="70"/>
    <n v="50259"/>
    <n v="9893.74"/>
  </r>
  <r>
    <n v="1194"/>
    <x v="29"/>
    <x v="3"/>
    <x v="0"/>
    <x v="5"/>
    <x v="79"/>
    <n v="24377"/>
    <n v="2896.7"/>
  </r>
  <r>
    <n v="1195"/>
    <x v="20"/>
    <x v="3"/>
    <x v="1"/>
    <x v="7"/>
    <x v="70"/>
    <n v="12763"/>
    <n v="816"/>
  </r>
  <r>
    <n v="1196"/>
    <x v="80"/>
    <x v="0"/>
    <x v="2"/>
    <x v="14"/>
    <x v="57"/>
    <n v="55861"/>
    <n v="13286.11"/>
  </r>
  <r>
    <n v="1197"/>
    <x v="45"/>
    <x v="1"/>
    <x v="1"/>
    <x v="4"/>
    <x v="79"/>
    <n v="21721"/>
    <n v="3205.32"/>
  </r>
  <r>
    <n v="1198"/>
    <x v="118"/>
    <x v="3"/>
    <x v="1"/>
    <x v="7"/>
    <x v="14"/>
    <n v="29222"/>
    <n v="2893.25"/>
  </r>
  <r>
    <n v="1199"/>
    <x v="151"/>
    <x v="0"/>
    <x v="2"/>
    <x v="11"/>
    <x v="48"/>
    <n v="7171"/>
    <n v="580.53"/>
  </r>
  <r>
    <n v="1200"/>
    <x v="152"/>
    <x v="3"/>
    <x v="2"/>
    <x v="2"/>
    <x v="36"/>
    <n v="57906"/>
    <n v="9412.76"/>
  </r>
  <r>
    <n v="1201"/>
    <x v="65"/>
    <x v="3"/>
    <x v="0"/>
    <x v="5"/>
    <x v="65"/>
    <n v="52766"/>
    <n v="5759.18"/>
  </r>
  <r>
    <n v="1202"/>
    <x v="114"/>
    <x v="2"/>
    <x v="1"/>
    <x v="10"/>
    <x v="73"/>
    <n v="51497"/>
    <n v="4915.03"/>
  </r>
  <r>
    <n v="1203"/>
    <x v="153"/>
    <x v="1"/>
    <x v="0"/>
    <x v="6"/>
    <x v="23"/>
    <n v="40575"/>
    <n v="2935.78"/>
  </r>
  <r>
    <n v="1204"/>
    <x v="31"/>
    <x v="2"/>
    <x v="1"/>
    <x v="8"/>
    <x v="57"/>
    <n v="52242"/>
    <n v="10174.870000000001"/>
  </r>
  <r>
    <n v="1205"/>
    <x v="112"/>
    <x v="0"/>
    <x v="0"/>
    <x v="3"/>
    <x v="52"/>
    <n v="26820"/>
    <n v="6375.84"/>
  </r>
  <r>
    <n v="1206"/>
    <x v="17"/>
    <x v="2"/>
    <x v="0"/>
    <x v="9"/>
    <x v="19"/>
    <n v="12979"/>
    <n v="2676.41"/>
  </r>
  <r>
    <n v="1207"/>
    <x v="133"/>
    <x v="3"/>
    <x v="1"/>
    <x v="10"/>
    <x v="23"/>
    <n v="1055"/>
    <n v="218.44"/>
  </r>
  <r>
    <n v="1208"/>
    <x v="134"/>
    <x v="3"/>
    <x v="1"/>
    <x v="10"/>
    <x v="59"/>
    <n v="28369"/>
    <n v="2248.94"/>
  </r>
  <r>
    <n v="1209"/>
    <x v="154"/>
    <x v="2"/>
    <x v="2"/>
    <x v="2"/>
    <x v="0"/>
    <n v="26524"/>
    <n v="4172.67"/>
  </r>
  <r>
    <n v="1210"/>
    <x v="113"/>
    <x v="1"/>
    <x v="2"/>
    <x v="11"/>
    <x v="38"/>
    <n v="10798"/>
    <n v="1958.94"/>
  </r>
  <r>
    <n v="1211"/>
    <x v="155"/>
    <x v="2"/>
    <x v="0"/>
    <x v="9"/>
    <x v="60"/>
    <n v="24776"/>
    <n v="3462.86"/>
  </r>
  <r>
    <n v="1212"/>
    <x v="146"/>
    <x v="1"/>
    <x v="1"/>
    <x v="7"/>
    <x v="7"/>
    <n v="27834"/>
    <n v="1742.1"/>
  </r>
  <r>
    <n v="1213"/>
    <x v="156"/>
    <x v="1"/>
    <x v="2"/>
    <x v="2"/>
    <x v="84"/>
    <n v="3018"/>
    <n v="713.19"/>
  </r>
  <r>
    <n v="1214"/>
    <x v="157"/>
    <x v="3"/>
    <x v="1"/>
    <x v="10"/>
    <x v="46"/>
    <n v="32288"/>
    <n v="7637.75"/>
  </r>
  <r>
    <n v="1215"/>
    <x v="158"/>
    <x v="2"/>
    <x v="1"/>
    <x v="1"/>
    <x v="10"/>
    <n v="46486"/>
    <n v="4085.2"/>
  </r>
  <r>
    <n v="1216"/>
    <x v="72"/>
    <x v="0"/>
    <x v="2"/>
    <x v="14"/>
    <x v="85"/>
    <n v="9056"/>
    <n v="1220.56"/>
  </r>
  <r>
    <n v="1217"/>
    <x v="99"/>
    <x v="2"/>
    <x v="2"/>
    <x v="13"/>
    <x v="21"/>
    <n v="42673"/>
    <n v="5665.2"/>
  </r>
  <r>
    <n v="1218"/>
    <x v="159"/>
    <x v="0"/>
    <x v="0"/>
    <x v="5"/>
    <x v="84"/>
    <n v="28891"/>
    <n v="4363.66"/>
  </r>
  <r>
    <n v="1219"/>
    <x v="160"/>
    <x v="3"/>
    <x v="1"/>
    <x v="7"/>
    <x v="77"/>
    <n v="27796"/>
    <n v="6283.46"/>
  </r>
  <r>
    <n v="1220"/>
    <x v="161"/>
    <x v="2"/>
    <x v="2"/>
    <x v="14"/>
    <x v="59"/>
    <n v="53300"/>
    <n v="3099.67"/>
  </r>
  <r>
    <n v="1221"/>
    <x v="162"/>
    <x v="2"/>
    <x v="0"/>
    <x v="6"/>
    <x v="47"/>
    <n v="5568"/>
    <n v="332.35"/>
  </r>
  <r>
    <n v="1222"/>
    <x v="163"/>
    <x v="0"/>
    <x v="1"/>
    <x v="8"/>
    <x v="80"/>
    <n v="1753"/>
    <n v="259.97000000000003"/>
  </r>
  <r>
    <n v="1223"/>
    <x v="148"/>
    <x v="3"/>
    <x v="0"/>
    <x v="9"/>
    <x v="10"/>
    <n v="41996"/>
    <n v="7351.57"/>
  </r>
  <r>
    <n v="1224"/>
    <x v="67"/>
    <x v="3"/>
    <x v="1"/>
    <x v="10"/>
    <x v="86"/>
    <n v="45098"/>
    <n v="5588.34"/>
  </r>
  <r>
    <n v="1225"/>
    <x v="164"/>
    <x v="1"/>
    <x v="2"/>
    <x v="11"/>
    <x v="38"/>
    <n v="9232"/>
    <n v="953.62"/>
  </r>
  <r>
    <n v="1226"/>
    <x v="165"/>
    <x v="1"/>
    <x v="1"/>
    <x v="1"/>
    <x v="2"/>
    <n v="3277"/>
    <n v="271.48"/>
  </r>
  <r>
    <n v="1227"/>
    <x v="10"/>
    <x v="0"/>
    <x v="2"/>
    <x v="13"/>
    <x v="28"/>
    <n v="7792"/>
    <n v="1619.08"/>
  </r>
  <r>
    <n v="1228"/>
    <x v="166"/>
    <x v="3"/>
    <x v="1"/>
    <x v="7"/>
    <x v="43"/>
    <n v="46629"/>
    <n v="3702.45"/>
  </r>
  <r>
    <n v="1229"/>
    <x v="167"/>
    <x v="3"/>
    <x v="1"/>
    <x v="8"/>
    <x v="65"/>
    <n v="3481"/>
    <n v="251.82"/>
  </r>
  <r>
    <n v="1230"/>
    <x v="168"/>
    <x v="2"/>
    <x v="0"/>
    <x v="0"/>
    <x v="18"/>
    <n v="32085"/>
    <n v="3665.57"/>
  </r>
  <r>
    <n v="1231"/>
    <x v="169"/>
    <x v="2"/>
    <x v="0"/>
    <x v="5"/>
    <x v="34"/>
    <n v="39383"/>
    <n v="5532.17"/>
  </r>
  <r>
    <n v="1232"/>
    <x v="170"/>
    <x v="0"/>
    <x v="2"/>
    <x v="14"/>
    <x v="87"/>
    <n v="27918"/>
    <n v="5827.94"/>
  </r>
  <r>
    <n v="1233"/>
    <x v="160"/>
    <x v="1"/>
    <x v="1"/>
    <x v="4"/>
    <x v="8"/>
    <n v="27078"/>
    <n v="2464.63"/>
  </r>
  <r>
    <n v="1234"/>
    <x v="171"/>
    <x v="2"/>
    <x v="1"/>
    <x v="10"/>
    <x v="41"/>
    <n v="46352"/>
    <n v="5274.18"/>
  </r>
  <r>
    <n v="1235"/>
    <x v="172"/>
    <x v="0"/>
    <x v="1"/>
    <x v="7"/>
    <x v="86"/>
    <n v="42215"/>
    <n v="4484.32"/>
  </r>
  <r>
    <n v="1236"/>
    <x v="118"/>
    <x v="2"/>
    <x v="2"/>
    <x v="11"/>
    <x v="21"/>
    <n v="3101"/>
    <n v="646.01"/>
  </r>
  <r>
    <n v="1237"/>
    <x v="173"/>
    <x v="2"/>
    <x v="2"/>
    <x v="12"/>
    <x v="13"/>
    <n v="11483"/>
    <n v="804.21"/>
  </r>
  <r>
    <n v="1238"/>
    <x v="174"/>
    <x v="1"/>
    <x v="1"/>
    <x v="7"/>
    <x v="1"/>
    <n v="27675"/>
    <n v="4560.07"/>
  </r>
  <r>
    <n v="1239"/>
    <x v="36"/>
    <x v="1"/>
    <x v="2"/>
    <x v="13"/>
    <x v="37"/>
    <n v="25776"/>
    <n v="1512.71"/>
  </r>
  <r>
    <n v="1240"/>
    <x v="24"/>
    <x v="3"/>
    <x v="2"/>
    <x v="12"/>
    <x v="19"/>
    <n v="51476"/>
    <n v="12078.2"/>
  </r>
  <r>
    <n v="1241"/>
    <x v="159"/>
    <x v="1"/>
    <x v="2"/>
    <x v="12"/>
    <x v="6"/>
    <n v="39991"/>
    <n v="6595.04"/>
  </r>
  <r>
    <n v="1242"/>
    <x v="137"/>
    <x v="1"/>
    <x v="0"/>
    <x v="6"/>
    <x v="47"/>
    <n v="58477"/>
    <n v="8463.41"/>
  </r>
  <r>
    <n v="1243"/>
    <x v="46"/>
    <x v="0"/>
    <x v="2"/>
    <x v="11"/>
    <x v="3"/>
    <n v="54533"/>
    <n v="6703.47"/>
  </r>
  <r>
    <n v="1244"/>
    <x v="71"/>
    <x v="3"/>
    <x v="1"/>
    <x v="4"/>
    <x v="51"/>
    <n v="1415"/>
    <n v="183.01"/>
  </r>
  <r>
    <n v="1245"/>
    <x v="175"/>
    <x v="0"/>
    <x v="2"/>
    <x v="13"/>
    <x v="88"/>
    <n v="36492"/>
    <n v="8494.91"/>
  </r>
  <r>
    <n v="1246"/>
    <x v="171"/>
    <x v="2"/>
    <x v="0"/>
    <x v="6"/>
    <x v="48"/>
    <n v="51134"/>
    <n v="3007.62"/>
  </r>
  <r>
    <n v="1247"/>
    <x v="164"/>
    <x v="2"/>
    <x v="1"/>
    <x v="10"/>
    <x v="32"/>
    <n v="42392"/>
    <n v="5844.99"/>
  </r>
  <r>
    <n v="1248"/>
    <x v="176"/>
    <x v="2"/>
    <x v="2"/>
    <x v="13"/>
    <x v="66"/>
    <n v="47791"/>
    <n v="7222.96"/>
  </r>
  <r>
    <n v="1249"/>
    <x v="177"/>
    <x v="3"/>
    <x v="1"/>
    <x v="10"/>
    <x v="1"/>
    <n v="50439"/>
    <n v="4509.29"/>
  </r>
  <r>
    <n v="1250"/>
    <x v="113"/>
    <x v="3"/>
    <x v="0"/>
    <x v="9"/>
    <x v="1"/>
    <n v="15098"/>
    <n v="1559.81"/>
  </r>
  <r>
    <n v="1251"/>
    <x v="151"/>
    <x v="0"/>
    <x v="1"/>
    <x v="4"/>
    <x v="28"/>
    <n v="6952"/>
    <n v="1307.3399999999999"/>
  </r>
  <r>
    <n v="1252"/>
    <x v="178"/>
    <x v="2"/>
    <x v="1"/>
    <x v="4"/>
    <x v="68"/>
    <n v="27621"/>
    <n v="5966.76"/>
  </r>
  <r>
    <n v="1253"/>
    <x v="157"/>
    <x v="0"/>
    <x v="1"/>
    <x v="7"/>
    <x v="56"/>
    <n v="25511"/>
    <n v="3769.5"/>
  </r>
  <r>
    <n v="1254"/>
    <x v="23"/>
    <x v="0"/>
    <x v="0"/>
    <x v="0"/>
    <x v="49"/>
    <n v="50033"/>
    <n v="9170.69"/>
  </r>
  <r>
    <n v="1255"/>
    <x v="49"/>
    <x v="2"/>
    <x v="0"/>
    <x v="6"/>
    <x v="79"/>
    <n v="49500"/>
    <n v="12081.91"/>
  </r>
  <r>
    <n v="1256"/>
    <x v="179"/>
    <x v="3"/>
    <x v="0"/>
    <x v="9"/>
    <x v="12"/>
    <n v="47923"/>
    <n v="5586.64"/>
  </r>
  <r>
    <n v="1257"/>
    <x v="170"/>
    <x v="3"/>
    <x v="1"/>
    <x v="8"/>
    <x v="68"/>
    <n v="25572"/>
    <n v="3635.45"/>
  </r>
  <r>
    <n v="1258"/>
    <x v="40"/>
    <x v="1"/>
    <x v="2"/>
    <x v="13"/>
    <x v="20"/>
    <n v="52423"/>
    <n v="4919.82"/>
  </r>
  <r>
    <n v="1259"/>
    <x v="89"/>
    <x v="2"/>
    <x v="2"/>
    <x v="12"/>
    <x v="61"/>
    <n v="44913"/>
    <n v="5318.86"/>
  </r>
  <r>
    <n v="1260"/>
    <x v="180"/>
    <x v="1"/>
    <x v="0"/>
    <x v="3"/>
    <x v="72"/>
    <n v="11385"/>
    <n v="1992.67"/>
  </r>
  <r>
    <n v="1261"/>
    <x v="181"/>
    <x v="2"/>
    <x v="1"/>
    <x v="10"/>
    <x v="18"/>
    <n v="47228"/>
    <n v="5113.78"/>
  </r>
  <r>
    <n v="1262"/>
    <x v="182"/>
    <x v="1"/>
    <x v="0"/>
    <x v="5"/>
    <x v="35"/>
    <n v="27340"/>
    <n v="4751.67"/>
  </r>
  <r>
    <n v="1263"/>
    <x v="83"/>
    <x v="0"/>
    <x v="1"/>
    <x v="8"/>
    <x v="5"/>
    <n v="45919"/>
    <n v="10985.3"/>
  </r>
  <r>
    <n v="1264"/>
    <x v="84"/>
    <x v="0"/>
    <x v="1"/>
    <x v="8"/>
    <x v="59"/>
    <n v="44203"/>
    <n v="4340.57"/>
  </r>
  <r>
    <n v="1265"/>
    <x v="167"/>
    <x v="1"/>
    <x v="2"/>
    <x v="2"/>
    <x v="26"/>
    <n v="39262"/>
    <n v="9190.83"/>
  </r>
  <r>
    <n v="1266"/>
    <x v="34"/>
    <x v="0"/>
    <x v="0"/>
    <x v="9"/>
    <x v="44"/>
    <n v="56843"/>
    <n v="6558.66"/>
  </r>
  <r>
    <n v="1267"/>
    <x v="183"/>
    <x v="1"/>
    <x v="0"/>
    <x v="3"/>
    <x v="42"/>
    <n v="39146"/>
    <n v="3203.78"/>
  </r>
  <r>
    <n v="1268"/>
    <x v="184"/>
    <x v="1"/>
    <x v="0"/>
    <x v="0"/>
    <x v="78"/>
    <n v="4089"/>
    <n v="868.19"/>
  </r>
  <r>
    <n v="1269"/>
    <x v="153"/>
    <x v="0"/>
    <x v="2"/>
    <x v="13"/>
    <x v="84"/>
    <n v="29306"/>
    <n v="6077.29"/>
  </r>
  <r>
    <n v="1270"/>
    <x v="185"/>
    <x v="2"/>
    <x v="2"/>
    <x v="12"/>
    <x v="88"/>
    <n v="50391"/>
    <n v="8072.33"/>
  </r>
  <r>
    <n v="1271"/>
    <x v="57"/>
    <x v="3"/>
    <x v="1"/>
    <x v="8"/>
    <x v="5"/>
    <n v="55273"/>
    <n v="6147.11"/>
  </r>
  <r>
    <n v="1272"/>
    <x v="5"/>
    <x v="2"/>
    <x v="2"/>
    <x v="12"/>
    <x v="54"/>
    <n v="21412"/>
    <n v="4387.5200000000004"/>
  </r>
  <r>
    <n v="1273"/>
    <x v="186"/>
    <x v="3"/>
    <x v="2"/>
    <x v="13"/>
    <x v="46"/>
    <n v="12771"/>
    <n v="3105.25"/>
  </r>
  <r>
    <n v="1274"/>
    <x v="187"/>
    <x v="3"/>
    <x v="0"/>
    <x v="6"/>
    <x v="30"/>
    <n v="28596"/>
    <n v="2061.83"/>
  </r>
  <r>
    <n v="1275"/>
    <x v="129"/>
    <x v="1"/>
    <x v="2"/>
    <x v="13"/>
    <x v="89"/>
    <n v="55860"/>
    <n v="3031.2"/>
  </r>
  <r>
    <n v="1276"/>
    <x v="117"/>
    <x v="3"/>
    <x v="1"/>
    <x v="10"/>
    <x v="70"/>
    <n v="48648"/>
    <n v="11957.31"/>
  </r>
  <r>
    <n v="1277"/>
    <x v="188"/>
    <x v="1"/>
    <x v="0"/>
    <x v="6"/>
    <x v="24"/>
    <n v="57904"/>
    <n v="8022.72"/>
  </r>
  <r>
    <n v="1278"/>
    <x v="144"/>
    <x v="2"/>
    <x v="0"/>
    <x v="5"/>
    <x v="72"/>
    <n v="10162"/>
    <n v="1719.12"/>
  </r>
  <r>
    <n v="1279"/>
    <x v="171"/>
    <x v="3"/>
    <x v="0"/>
    <x v="6"/>
    <x v="90"/>
    <n v="47798"/>
    <n v="3114.84"/>
  </r>
  <r>
    <n v="1280"/>
    <x v="71"/>
    <x v="3"/>
    <x v="0"/>
    <x v="5"/>
    <x v="89"/>
    <n v="11306"/>
    <n v="2087.06"/>
  </r>
  <r>
    <n v="1281"/>
    <x v="189"/>
    <x v="1"/>
    <x v="1"/>
    <x v="7"/>
    <x v="91"/>
    <n v="48627"/>
    <n v="7500.49"/>
  </r>
  <r>
    <n v="1282"/>
    <x v="84"/>
    <x v="1"/>
    <x v="0"/>
    <x v="5"/>
    <x v="73"/>
    <n v="24709"/>
    <n v="3645.62"/>
  </r>
  <r>
    <n v="1283"/>
    <x v="149"/>
    <x v="2"/>
    <x v="1"/>
    <x v="8"/>
    <x v="19"/>
    <n v="23293"/>
    <n v="5167.5200000000004"/>
  </r>
  <r>
    <n v="1284"/>
    <x v="189"/>
    <x v="0"/>
    <x v="1"/>
    <x v="1"/>
    <x v="88"/>
    <n v="57361"/>
    <n v="4349.84"/>
  </r>
  <r>
    <n v="1285"/>
    <x v="54"/>
    <x v="0"/>
    <x v="0"/>
    <x v="5"/>
    <x v="38"/>
    <n v="25076"/>
    <n v="4282.53"/>
  </r>
  <r>
    <n v="1286"/>
    <x v="165"/>
    <x v="2"/>
    <x v="1"/>
    <x v="4"/>
    <x v="26"/>
    <n v="37696"/>
    <n v="8351.61"/>
  </r>
  <r>
    <n v="1287"/>
    <x v="127"/>
    <x v="3"/>
    <x v="2"/>
    <x v="13"/>
    <x v="65"/>
    <n v="56807"/>
    <n v="7619.14"/>
  </r>
  <r>
    <n v="1288"/>
    <x v="112"/>
    <x v="3"/>
    <x v="0"/>
    <x v="6"/>
    <x v="43"/>
    <n v="56515"/>
    <n v="8142.34"/>
  </r>
  <r>
    <n v="1289"/>
    <x v="190"/>
    <x v="3"/>
    <x v="1"/>
    <x v="8"/>
    <x v="47"/>
    <n v="20779"/>
    <n v="3392.62"/>
  </r>
  <r>
    <n v="1290"/>
    <x v="50"/>
    <x v="3"/>
    <x v="0"/>
    <x v="6"/>
    <x v="3"/>
    <n v="51236"/>
    <n v="3265.53"/>
  </r>
  <r>
    <n v="1291"/>
    <x v="191"/>
    <x v="0"/>
    <x v="2"/>
    <x v="13"/>
    <x v="37"/>
    <n v="39901"/>
    <n v="3897.74"/>
  </r>
  <r>
    <n v="1292"/>
    <x v="37"/>
    <x v="2"/>
    <x v="1"/>
    <x v="1"/>
    <x v="34"/>
    <n v="8560"/>
    <n v="920.03"/>
  </r>
  <r>
    <n v="1293"/>
    <x v="192"/>
    <x v="0"/>
    <x v="0"/>
    <x v="5"/>
    <x v="27"/>
    <n v="18144"/>
    <n v="3928.02"/>
  </r>
  <r>
    <n v="1294"/>
    <x v="193"/>
    <x v="2"/>
    <x v="0"/>
    <x v="5"/>
    <x v="31"/>
    <n v="45887"/>
    <n v="9402.92"/>
  </r>
  <r>
    <n v="1295"/>
    <x v="112"/>
    <x v="0"/>
    <x v="2"/>
    <x v="11"/>
    <x v="62"/>
    <n v="47457"/>
    <n v="9812.7099999999991"/>
  </r>
  <r>
    <n v="1296"/>
    <x v="194"/>
    <x v="2"/>
    <x v="2"/>
    <x v="13"/>
    <x v="92"/>
    <n v="22853"/>
    <n v="3695.9"/>
  </r>
  <r>
    <n v="1297"/>
    <x v="63"/>
    <x v="3"/>
    <x v="0"/>
    <x v="9"/>
    <x v="71"/>
    <n v="25524"/>
    <n v="4636.7700000000004"/>
  </r>
  <r>
    <n v="1298"/>
    <x v="195"/>
    <x v="0"/>
    <x v="0"/>
    <x v="5"/>
    <x v="63"/>
    <n v="29265"/>
    <n v="3804.9"/>
  </r>
  <r>
    <n v="1299"/>
    <x v="196"/>
    <x v="2"/>
    <x v="2"/>
    <x v="13"/>
    <x v="78"/>
    <n v="48609"/>
    <n v="3559.76"/>
  </r>
  <r>
    <n v="1300"/>
    <x v="15"/>
    <x v="1"/>
    <x v="1"/>
    <x v="4"/>
    <x v="17"/>
    <n v="38315"/>
    <n v="8871.69"/>
  </r>
  <r>
    <n v="1301"/>
    <x v="71"/>
    <x v="2"/>
    <x v="2"/>
    <x v="2"/>
    <x v="42"/>
    <n v="3099"/>
    <n v="420.74"/>
  </r>
  <r>
    <n v="1302"/>
    <x v="197"/>
    <x v="0"/>
    <x v="1"/>
    <x v="4"/>
    <x v="15"/>
    <n v="57093"/>
    <n v="4500.18"/>
  </r>
  <r>
    <n v="1303"/>
    <x v="198"/>
    <x v="0"/>
    <x v="2"/>
    <x v="14"/>
    <x v="31"/>
    <n v="38618"/>
    <n v="8442.77"/>
  </r>
  <r>
    <n v="1304"/>
    <x v="109"/>
    <x v="0"/>
    <x v="0"/>
    <x v="3"/>
    <x v="69"/>
    <n v="4430"/>
    <n v="1092.3499999999999"/>
  </r>
  <r>
    <n v="1305"/>
    <x v="93"/>
    <x v="1"/>
    <x v="1"/>
    <x v="8"/>
    <x v="93"/>
    <n v="57426"/>
    <n v="7790.71"/>
  </r>
  <r>
    <n v="1306"/>
    <x v="0"/>
    <x v="2"/>
    <x v="0"/>
    <x v="6"/>
    <x v="59"/>
    <n v="37078"/>
    <n v="7483.32"/>
  </r>
  <r>
    <n v="1307"/>
    <x v="182"/>
    <x v="0"/>
    <x v="1"/>
    <x v="1"/>
    <x v="2"/>
    <n v="39978"/>
    <n v="4712.6099999999997"/>
  </r>
  <r>
    <n v="1308"/>
    <x v="189"/>
    <x v="2"/>
    <x v="1"/>
    <x v="7"/>
    <x v="24"/>
    <n v="18563"/>
    <n v="3789.56"/>
  </r>
  <r>
    <n v="1309"/>
    <x v="2"/>
    <x v="2"/>
    <x v="2"/>
    <x v="12"/>
    <x v="32"/>
    <n v="55770"/>
    <n v="4475.82"/>
  </r>
  <r>
    <n v="1310"/>
    <x v="79"/>
    <x v="3"/>
    <x v="0"/>
    <x v="0"/>
    <x v="35"/>
    <n v="14111"/>
    <n v="789.34"/>
  </r>
  <r>
    <n v="1311"/>
    <x v="117"/>
    <x v="0"/>
    <x v="0"/>
    <x v="5"/>
    <x v="0"/>
    <n v="49021"/>
    <n v="9107.08"/>
  </r>
  <r>
    <n v="1312"/>
    <x v="199"/>
    <x v="0"/>
    <x v="2"/>
    <x v="2"/>
    <x v="64"/>
    <n v="14777"/>
    <n v="1457.9"/>
  </r>
  <r>
    <n v="1313"/>
    <x v="200"/>
    <x v="3"/>
    <x v="2"/>
    <x v="11"/>
    <x v="32"/>
    <n v="34197"/>
    <n v="5022.83"/>
  </r>
  <r>
    <n v="1314"/>
    <x v="201"/>
    <x v="2"/>
    <x v="2"/>
    <x v="14"/>
    <x v="76"/>
    <n v="2445"/>
    <n v="534.64"/>
  </r>
  <r>
    <n v="1315"/>
    <x v="202"/>
    <x v="2"/>
    <x v="2"/>
    <x v="12"/>
    <x v="69"/>
    <n v="54627"/>
    <n v="6806.4"/>
  </r>
  <r>
    <n v="1316"/>
    <x v="77"/>
    <x v="3"/>
    <x v="0"/>
    <x v="0"/>
    <x v="35"/>
    <n v="18534"/>
    <n v="3603.13"/>
  </r>
  <r>
    <n v="1317"/>
    <x v="203"/>
    <x v="0"/>
    <x v="1"/>
    <x v="4"/>
    <x v="81"/>
    <n v="44964"/>
    <n v="2383.6"/>
  </r>
  <r>
    <n v="1318"/>
    <x v="14"/>
    <x v="0"/>
    <x v="1"/>
    <x v="1"/>
    <x v="94"/>
    <n v="26313"/>
    <n v="1543.29"/>
  </r>
  <r>
    <n v="1319"/>
    <x v="175"/>
    <x v="3"/>
    <x v="0"/>
    <x v="5"/>
    <x v="2"/>
    <n v="57136"/>
    <n v="12283.19"/>
  </r>
  <r>
    <n v="1320"/>
    <x v="170"/>
    <x v="0"/>
    <x v="0"/>
    <x v="6"/>
    <x v="13"/>
    <n v="11369"/>
    <n v="839.97"/>
  </r>
  <r>
    <n v="1321"/>
    <x v="133"/>
    <x v="2"/>
    <x v="0"/>
    <x v="0"/>
    <x v="35"/>
    <n v="38646"/>
    <n v="3239.41"/>
  </r>
  <r>
    <n v="1322"/>
    <x v="163"/>
    <x v="0"/>
    <x v="2"/>
    <x v="11"/>
    <x v="30"/>
    <n v="36516"/>
    <n v="5927.3"/>
  </r>
  <r>
    <n v="1323"/>
    <x v="13"/>
    <x v="3"/>
    <x v="0"/>
    <x v="3"/>
    <x v="88"/>
    <n v="42989"/>
    <n v="6512.86"/>
  </r>
  <r>
    <n v="1324"/>
    <x v="1"/>
    <x v="1"/>
    <x v="0"/>
    <x v="3"/>
    <x v="50"/>
    <n v="45460"/>
    <n v="10063.280000000001"/>
  </r>
  <r>
    <n v="1325"/>
    <x v="204"/>
    <x v="2"/>
    <x v="2"/>
    <x v="13"/>
    <x v="71"/>
    <n v="16213"/>
    <n v="3528.07"/>
  </r>
  <r>
    <n v="1326"/>
    <x v="49"/>
    <x v="0"/>
    <x v="0"/>
    <x v="0"/>
    <x v="12"/>
    <n v="52083"/>
    <n v="3861.34"/>
  </r>
  <r>
    <n v="1327"/>
    <x v="122"/>
    <x v="2"/>
    <x v="1"/>
    <x v="1"/>
    <x v="68"/>
    <n v="29081"/>
    <n v="1882.79"/>
  </r>
  <r>
    <n v="1328"/>
    <x v="205"/>
    <x v="3"/>
    <x v="0"/>
    <x v="0"/>
    <x v="48"/>
    <n v="52171"/>
    <n v="10479.89"/>
  </r>
  <r>
    <n v="1329"/>
    <x v="206"/>
    <x v="0"/>
    <x v="1"/>
    <x v="1"/>
    <x v="78"/>
    <n v="50780"/>
    <n v="4303.32"/>
  </r>
  <r>
    <n v="1330"/>
    <x v="186"/>
    <x v="2"/>
    <x v="0"/>
    <x v="5"/>
    <x v="33"/>
    <n v="31030"/>
    <n v="7320.01"/>
  </r>
  <r>
    <n v="1331"/>
    <x v="131"/>
    <x v="0"/>
    <x v="0"/>
    <x v="3"/>
    <x v="95"/>
    <n v="22593"/>
    <n v="4364.99"/>
  </r>
  <r>
    <n v="1332"/>
    <x v="56"/>
    <x v="1"/>
    <x v="0"/>
    <x v="6"/>
    <x v="95"/>
    <n v="56341"/>
    <n v="9976.18"/>
  </r>
  <r>
    <n v="1333"/>
    <x v="207"/>
    <x v="1"/>
    <x v="2"/>
    <x v="14"/>
    <x v="18"/>
    <n v="23594"/>
    <n v="3161.06"/>
  </r>
  <r>
    <n v="1334"/>
    <x v="99"/>
    <x v="0"/>
    <x v="2"/>
    <x v="11"/>
    <x v="59"/>
    <n v="7104"/>
    <n v="1034.1199999999999"/>
  </r>
  <r>
    <n v="1335"/>
    <x v="54"/>
    <x v="1"/>
    <x v="0"/>
    <x v="6"/>
    <x v="26"/>
    <n v="21293"/>
    <n v="2725.41"/>
  </r>
  <r>
    <n v="1336"/>
    <x v="92"/>
    <x v="2"/>
    <x v="1"/>
    <x v="10"/>
    <x v="75"/>
    <n v="54918"/>
    <n v="9652.2800000000007"/>
  </r>
  <r>
    <n v="1337"/>
    <x v="46"/>
    <x v="0"/>
    <x v="0"/>
    <x v="6"/>
    <x v="96"/>
    <n v="6782"/>
    <n v="633.36"/>
  </r>
  <r>
    <n v="1338"/>
    <x v="103"/>
    <x v="2"/>
    <x v="2"/>
    <x v="11"/>
    <x v="62"/>
    <n v="31901"/>
    <n v="1935.54"/>
  </r>
  <r>
    <n v="1339"/>
    <x v="208"/>
    <x v="0"/>
    <x v="0"/>
    <x v="9"/>
    <x v="86"/>
    <n v="44098"/>
    <n v="2757.17"/>
  </r>
  <r>
    <n v="1340"/>
    <x v="139"/>
    <x v="1"/>
    <x v="2"/>
    <x v="13"/>
    <x v="37"/>
    <n v="54668"/>
    <n v="3445.78"/>
  </r>
  <r>
    <n v="1341"/>
    <x v="207"/>
    <x v="1"/>
    <x v="0"/>
    <x v="6"/>
    <x v="65"/>
    <n v="48784"/>
    <n v="7435.2"/>
  </r>
  <r>
    <n v="1342"/>
    <x v="209"/>
    <x v="3"/>
    <x v="2"/>
    <x v="2"/>
    <x v="4"/>
    <n v="47614"/>
    <n v="5193.04"/>
  </r>
  <r>
    <n v="1343"/>
    <x v="210"/>
    <x v="0"/>
    <x v="1"/>
    <x v="10"/>
    <x v="5"/>
    <n v="17896"/>
    <n v="4433.13"/>
  </r>
  <r>
    <n v="1344"/>
    <x v="211"/>
    <x v="3"/>
    <x v="2"/>
    <x v="13"/>
    <x v="53"/>
    <n v="35094"/>
    <n v="2186.2800000000002"/>
  </r>
  <r>
    <n v="1345"/>
    <x v="91"/>
    <x v="3"/>
    <x v="0"/>
    <x v="0"/>
    <x v="20"/>
    <n v="39808"/>
    <n v="4977.4399999999996"/>
  </r>
  <r>
    <n v="1346"/>
    <x v="94"/>
    <x v="0"/>
    <x v="2"/>
    <x v="12"/>
    <x v="97"/>
    <n v="52682"/>
    <n v="8714.26"/>
  </r>
  <r>
    <n v="1347"/>
    <x v="43"/>
    <x v="2"/>
    <x v="2"/>
    <x v="2"/>
    <x v="95"/>
    <n v="5772"/>
    <n v="1288.18"/>
  </r>
  <r>
    <n v="1348"/>
    <x v="212"/>
    <x v="3"/>
    <x v="1"/>
    <x v="10"/>
    <x v="11"/>
    <n v="3621"/>
    <n v="641.78"/>
  </r>
  <r>
    <n v="1349"/>
    <x v="76"/>
    <x v="3"/>
    <x v="0"/>
    <x v="6"/>
    <x v="55"/>
    <n v="26721"/>
    <n v="6597.63"/>
  </r>
  <r>
    <n v="1350"/>
    <x v="213"/>
    <x v="2"/>
    <x v="1"/>
    <x v="10"/>
    <x v="54"/>
    <n v="46039"/>
    <n v="9826.18"/>
  </r>
  <r>
    <n v="1351"/>
    <x v="197"/>
    <x v="0"/>
    <x v="0"/>
    <x v="5"/>
    <x v="17"/>
    <n v="12031"/>
    <n v="2973.41"/>
  </r>
  <r>
    <n v="1352"/>
    <x v="26"/>
    <x v="3"/>
    <x v="2"/>
    <x v="12"/>
    <x v="87"/>
    <n v="49783"/>
    <n v="5920.55"/>
  </r>
  <r>
    <n v="1353"/>
    <x v="214"/>
    <x v="2"/>
    <x v="2"/>
    <x v="13"/>
    <x v="57"/>
    <n v="30696"/>
    <n v="3927.54"/>
  </r>
  <r>
    <n v="1354"/>
    <x v="76"/>
    <x v="2"/>
    <x v="2"/>
    <x v="12"/>
    <x v="39"/>
    <n v="47122"/>
    <n v="7918.64"/>
  </r>
  <r>
    <n v="1355"/>
    <x v="162"/>
    <x v="2"/>
    <x v="2"/>
    <x v="13"/>
    <x v="40"/>
    <n v="50117"/>
    <n v="10223.23"/>
  </r>
  <r>
    <n v="1356"/>
    <x v="215"/>
    <x v="3"/>
    <x v="0"/>
    <x v="9"/>
    <x v="70"/>
    <n v="33201"/>
    <n v="6169.41"/>
  </r>
  <r>
    <n v="1357"/>
    <x v="216"/>
    <x v="3"/>
    <x v="1"/>
    <x v="1"/>
    <x v="90"/>
    <n v="21132"/>
    <n v="3006.21"/>
  </r>
  <r>
    <n v="1358"/>
    <x v="107"/>
    <x v="2"/>
    <x v="2"/>
    <x v="12"/>
    <x v="78"/>
    <n v="559"/>
    <n v="127.07"/>
  </r>
  <r>
    <n v="1359"/>
    <x v="217"/>
    <x v="3"/>
    <x v="2"/>
    <x v="12"/>
    <x v="85"/>
    <n v="3019"/>
    <n v="188.33"/>
  </r>
  <r>
    <n v="1360"/>
    <x v="218"/>
    <x v="3"/>
    <x v="0"/>
    <x v="5"/>
    <x v="50"/>
    <n v="36665"/>
    <n v="6224.63"/>
  </r>
  <r>
    <n v="1361"/>
    <x v="132"/>
    <x v="1"/>
    <x v="0"/>
    <x v="9"/>
    <x v="50"/>
    <n v="36059"/>
    <n v="4368.74"/>
  </r>
  <r>
    <n v="1362"/>
    <x v="219"/>
    <x v="2"/>
    <x v="1"/>
    <x v="4"/>
    <x v="7"/>
    <n v="12254"/>
    <n v="2146.35"/>
  </r>
  <r>
    <n v="1363"/>
    <x v="220"/>
    <x v="1"/>
    <x v="1"/>
    <x v="4"/>
    <x v="97"/>
    <n v="34442"/>
    <n v="5745.94"/>
  </r>
  <r>
    <n v="1364"/>
    <x v="221"/>
    <x v="3"/>
    <x v="0"/>
    <x v="6"/>
    <x v="10"/>
    <n v="33489"/>
    <n v="5116.92"/>
  </r>
  <r>
    <n v="1365"/>
    <x v="222"/>
    <x v="0"/>
    <x v="2"/>
    <x v="12"/>
    <x v="22"/>
    <n v="21905"/>
    <n v="3238.06"/>
  </r>
  <r>
    <n v="1366"/>
    <x v="223"/>
    <x v="1"/>
    <x v="2"/>
    <x v="11"/>
    <x v="63"/>
    <n v="51149"/>
    <n v="12759.98"/>
  </r>
  <r>
    <n v="1367"/>
    <x v="157"/>
    <x v="0"/>
    <x v="2"/>
    <x v="2"/>
    <x v="16"/>
    <n v="48819"/>
    <n v="6640.57"/>
  </r>
  <r>
    <n v="1368"/>
    <x v="75"/>
    <x v="3"/>
    <x v="0"/>
    <x v="6"/>
    <x v="8"/>
    <n v="59450"/>
    <n v="14310.46"/>
  </r>
  <r>
    <n v="1369"/>
    <x v="27"/>
    <x v="1"/>
    <x v="0"/>
    <x v="9"/>
    <x v="64"/>
    <n v="2290"/>
    <n v="252.39"/>
  </r>
  <r>
    <n v="1370"/>
    <x v="47"/>
    <x v="2"/>
    <x v="1"/>
    <x v="10"/>
    <x v="78"/>
    <n v="24838"/>
    <n v="1467.71"/>
  </r>
  <r>
    <n v="1371"/>
    <x v="142"/>
    <x v="2"/>
    <x v="2"/>
    <x v="13"/>
    <x v="50"/>
    <n v="3378"/>
    <n v="480.95"/>
  </r>
  <r>
    <n v="1372"/>
    <x v="224"/>
    <x v="1"/>
    <x v="2"/>
    <x v="13"/>
    <x v="91"/>
    <n v="23898"/>
    <n v="3032.16"/>
  </r>
  <r>
    <n v="1373"/>
    <x v="157"/>
    <x v="1"/>
    <x v="0"/>
    <x v="3"/>
    <x v="42"/>
    <n v="2714"/>
    <n v="358.35"/>
  </r>
  <r>
    <n v="1374"/>
    <x v="202"/>
    <x v="3"/>
    <x v="0"/>
    <x v="3"/>
    <x v="8"/>
    <n v="38581"/>
    <n v="9069.98"/>
  </r>
  <r>
    <n v="1375"/>
    <x v="225"/>
    <x v="0"/>
    <x v="2"/>
    <x v="13"/>
    <x v="62"/>
    <n v="38165"/>
    <n v="6104.26"/>
  </r>
  <r>
    <n v="1376"/>
    <x v="226"/>
    <x v="1"/>
    <x v="0"/>
    <x v="0"/>
    <x v="92"/>
    <n v="13196"/>
    <n v="1001.5"/>
  </r>
  <r>
    <n v="1377"/>
    <x v="174"/>
    <x v="3"/>
    <x v="1"/>
    <x v="8"/>
    <x v="20"/>
    <n v="48159"/>
    <n v="4654.79"/>
  </r>
  <r>
    <n v="1378"/>
    <x v="224"/>
    <x v="1"/>
    <x v="0"/>
    <x v="0"/>
    <x v="37"/>
    <n v="15261"/>
    <n v="2101.4499999999998"/>
  </r>
  <r>
    <n v="1379"/>
    <x v="90"/>
    <x v="0"/>
    <x v="2"/>
    <x v="13"/>
    <x v="75"/>
    <n v="11064"/>
    <n v="2469.5700000000002"/>
  </r>
  <r>
    <n v="1380"/>
    <x v="152"/>
    <x v="2"/>
    <x v="2"/>
    <x v="11"/>
    <x v="81"/>
    <n v="4589"/>
    <n v="808.74"/>
  </r>
  <r>
    <n v="1381"/>
    <x v="227"/>
    <x v="1"/>
    <x v="1"/>
    <x v="10"/>
    <x v="89"/>
    <n v="14304"/>
    <n v="2864.04"/>
  </r>
  <r>
    <n v="1382"/>
    <x v="228"/>
    <x v="1"/>
    <x v="0"/>
    <x v="6"/>
    <x v="80"/>
    <n v="36482"/>
    <n v="7865.42"/>
  </r>
  <r>
    <n v="1383"/>
    <x v="229"/>
    <x v="0"/>
    <x v="1"/>
    <x v="1"/>
    <x v="6"/>
    <n v="50989"/>
    <n v="4091.18"/>
  </r>
  <r>
    <n v="1384"/>
    <x v="230"/>
    <x v="1"/>
    <x v="1"/>
    <x v="8"/>
    <x v="76"/>
    <n v="58277"/>
    <n v="3461.39"/>
  </r>
  <r>
    <n v="1385"/>
    <x v="173"/>
    <x v="1"/>
    <x v="1"/>
    <x v="4"/>
    <x v="5"/>
    <n v="43552"/>
    <n v="3104.12"/>
  </r>
  <r>
    <n v="1386"/>
    <x v="231"/>
    <x v="2"/>
    <x v="2"/>
    <x v="14"/>
    <x v="72"/>
    <n v="41943"/>
    <n v="5025.79"/>
  </r>
  <r>
    <n v="1387"/>
    <x v="232"/>
    <x v="2"/>
    <x v="2"/>
    <x v="14"/>
    <x v="53"/>
    <n v="15157"/>
    <n v="759.11"/>
  </r>
  <r>
    <n v="1388"/>
    <x v="125"/>
    <x v="3"/>
    <x v="2"/>
    <x v="12"/>
    <x v="46"/>
    <n v="55986"/>
    <n v="7754.28"/>
  </r>
  <r>
    <n v="1389"/>
    <x v="179"/>
    <x v="2"/>
    <x v="0"/>
    <x v="5"/>
    <x v="86"/>
    <n v="58579"/>
    <n v="4285.68"/>
  </r>
  <r>
    <n v="1390"/>
    <x v="29"/>
    <x v="3"/>
    <x v="2"/>
    <x v="2"/>
    <x v="28"/>
    <n v="41734"/>
    <n v="3860.73"/>
  </r>
  <r>
    <n v="1391"/>
    <x v="161"/>
    <x v="0"/>
    <x v="1"/>
    <x v="8"/>
    <x v="70"/>
    <n v="32479"/>
    <n v="5412.28"/>
  </r>
  <r>
    <n v="1392"/>
    <x v="233"/>
    <x v="0"/>
    <x v="0"/>
    <x v="3"/>
    <x v="48"/>
    <n v="2046"/>
    <n v="478.64"/>
  </r>
  <r>
    <n v="1393"/>
    <x v="26"/>
    <x v="1"/>
    <x v="2"/>
    <x v="12"/>
    <x v="22"/>
    <n v="12406"/>
    <n v="1902.16"/>
  </r>
  <r>
    <n v="1394"/>
    <x v="234"/>
    <x v="3"/>
    <x v="1"/>
    <x v="4"/>
    <x v="7"/>
    <n v="50944"/>
    <n v="9229.6200000000008"/>
  </r>
  <r>
    <n v="1395"/>
    <x v="235"/>
    <x v="3"/>
    <x v="1"/>
    <x v="8"/>
    <x v="57"/>
    <n v="24567"/>
    <n v="4416.72"/>
  </r>
  <r>
    <n v="1396"/>
    <x v="207"/>
    <x v="2"/>
    <x v="2"/>
    <x v="14"/>
    <x v="6"/>
    <n v="26822"/>
    <n v="3622.37"/>
  </r>
  <r>
    <n v="1397"/>
    <x v="236"/>
    <x v="0"/>
    <x v="0"/>
    <x v="0"/>
    <x v="25"/>
    <n v="45221"/>
    <n v="5797.19"/>
  </r>
  <r>
    <n v="1398"/>
    <x v="237"/>
    <x v="3"/>
    <x v="0"/>
    <x v="5"/>
    <x v="31"/>
    <n v="5246"/>
    <n v="946.63"/>
  </r>
  <r>
    <n v="1399"/>
    <x v="27"/>
    <x v="2"/>
    <x v="1"/>
    <x v="8"/>
    <x v="5"/>
    <n v="51408"/>
    <n v="8713.85"/>
  </r>
  <r>
    <n v="1400"/>
    <x v="219"/>
    <x v="2"/>
    <x v="1"/>
    <x v="7"/>
    <x v="56"/>
    <n v="51165"/>
    <n v="5623.49"/>
  </r>
  <r>
    <n v="1401"/>
    <x v="238"/>
    <x v="0"/>
    <x v="0"/>
    <x v="9"/>
    <x v="1"/>
    <n v="27564"/>
    <n v="2418.8000000000002"/>
  </r>
  <r>
    <n v="1402"/>
    <x v="208"/>
    <x v="1"/>
    <x v="1"/>
    <x v="8"/>
    <x v="77"/>
    <n v="5997"/>
    <n v="857.6"/>
  </r>
  <r>
    <n v="1403"/>
    <x v="220"/>
    <x v="3"/>
    <x v="1"/>
    <x v="8"/>
    <x v="28"/>
    <n v="54745"/>
    <n v="8008.15"/>
  </r>
  <r>
    <n v="1404"/>
    <x v="110"/>
    <x v="1"/>
    <x v="1"/>
    <x v="7"/>
    <x v="57"/>
    <n v="36229"/>
    <n v="4094.75"/>
  </r>
  <r>
    <n v="1405"/>
    <x v="21"/>
    <x v="0"/>
    <x v="0"/>
    <x v="9"/>
    <x v="65"/>
    <n v="8051"/>
    <n v="1869.53"/>
  </r>
  <r>
    <n v="1406"/>
    <x v="239"/>
    <x v="2"/>
    <x v="0"/>
    <x v="6"/>
    <x v="8"/>
    <n v="35897"/>
    <n v="7805.94"/>
  </r>
  <r>
    <n v="1407"/>
    <x v="78"/>
    <x v="2"/>
    <x v="2"/>
    <x v="12"/>
    <x v="59"/>
    <n v="15315"/>
    <n v="3474.67"/>
  </r>
  <r>
    <n v="1408"/>
    <x v="200"/>
    <x v="1"/>
    <x v="2"/>
    <x v="13"/>
    <x v="17"/>
    <n v="28239"/>
    <n v="1797.57"/>
  </r>
  <r>
    <n v="1409"/>
    <x v="240"/>
    <x v="1"/>
    <x v="1"/>
    <x v="1"/>
    <x v="3"/>
    <n v="5880"/>
    <n v="585.4"/>
  </r>
  <r>
    <n v="1410"/>
    <x v="241"/>
    <x v="1"/>
    <x v="0"/>
    <x v="3"/>
    <x v="53"/>
    <n v="21964"/>
    <n v="4463.3900000000003"/>
  </r>
  <r>
    <n v="1411"/>
    <x v="112"/>
    <x v="2"/>
    <x v="0"/>
    <x v="0"/>
    <x v="37"/>
    <n v="27923"/>
    <n v="5604.22"/>
  </r>
  <r>
    <n v="1412"/>
    <x v="77"/>
    <x v="3"/>
    <x v="0"/>
    <x v="0"/>
    <x v="26"/>
    <n v="5125"/>
    <n v="499.59"/>
  </r>
  <r>
    <n v="1413"/>
    <x v="86"/>
    <x v="3"/>
    <x v="2"/>
    <x v="13"/>
    <x v="65"/>
    <n v="39811"/>
    <n v="8612.82"/>
  </r>
  <r>
    <n v="1414"/>
    <x v="242"/>
    <x v="3"/>
    <x v="1"/>
    <x v="4"/>
    <x v="97"/>
    <n v="46662"/>
    <n v="3582.4"/>
  </r>
  <r>
    <n v="1415"/>
    <x v="243"/>
    <x v="0"/>
    <x v="2"/>
    <x v="12"/>
    <x v="44"/>
    <n v="38338"/>
    <n v="8180.83"/>
  </r>
  <r>
    <n v="1416"/>
    <x v="91"/>
    <x v="1"/>
    <x v="0"/>
    <x v="3"/>
    <x v="16"/>
    <n v="13917"/>
    <n v="2688.01"/>
  </r>
  <r>
    <n v="1417"/>
    <x v="180"/>
    <x v="0"/>
    <x v="1"/>
    <x v="1"/>
    <x v="68"/>
    <n v="34567"/>
    <n v="4285.84"/>
  </r>
  <r>
    <n v="1418"/>
    <x v="244"/>
    <x v="2"/>
    <x v="1"/>
    <x v="7"/>
    <x v="32"/>
    <n v="42002"/>
    <n v="2336.15"/>
  </r>
  <r>
    <n v="1419"/>
    <x v="161"/>
    <x v="2"/>
    <x v="0"/>
    <x v="6"/>
    <x v="11"/>
    <n v="43704"/>
    <n v="10175"/>
  </r>
  <r>
    <n v="1420"/>
    <x v="245"/>
    <x v="3"/>
    <x v="2"/>
    <x v="13"/>
    <x v="71"/>
    <n v="11206"/>
    <n v="1026.95"/>
  </r>
  <r>
    <n v="1421"/>
    <x v="63"/>
    <x v="1"/>
    <x v="0"/>
    <x v="9"/>
    <x v="54"/>
    <n v="50784"/>
    <n v="8498.4599999999991"/>
  </r>
  <r>
    <n v="1422"/>
    <x v="246"/>
    <x v="0"/>
    <x v="2"/>
    <x v="11"/>
    <x v="82"/>
    <n v="24917"/>
    <n v="1657.67"/>
  </r>
  <r>
    <n v="1423"/>
    <x v="155"/>
    <x v="0"/>
    <x v="2"/>
    <x v="11"/>
    <x v="41"/>
    <n v="44454"/>
    <n v="6348.02"/>
  </r>
  <r>
    <n v="1424"/>
    <x v="104"/>
    <x v="0"/>
    <x v="2"/>
    <x v="14"/>
    <x v="67"/>
    <n v="25926"/>
    <n v="4489.9399999999996"/>
  </r>
  <r>
    <n v="1425"/>
    <x v="247"/>
    <x v="3"/>
    <x v="1"/>
    <x v="4"/>
    <x v="77"/>
    <n v="59972"/>
    <n v="13103.91"/>
  </r>
  <r>
    <n v="1426"/>
    <x v="248"/>
    <x v="1"/>
    <x v="1"/>
    <x v="4"/>
    <x v="7"/>
    <n v="43501"/>
    <n v="4100.1499999999996"/>
  </r>
  <r>
    <n v="1427"/>
    <x v="249"/>
    <x v="3"/>
    <x v="0"/>
    <x v="5"/>
    <x v="85"/>
    <n v="46178"/>
    <n v="10369.459999999999"/>
  </r>
  <r>
    <n v="1428"/>
    <x v="250"/>
    <x v="3"/>
    <x v="0"/>
    <x v="0"/>
    <x v="45"/>
    <n v="22357"/>
    <n v="1794.04"/>
  </r>
  <r>
    <n v="1429"/>
    <x v="138"/>
    <x v="1"/>
    <x v="1"/>
    <x v="10"/>
    <x v="12"/>
    <n v="11967"/>
    <n v="1460.9"/>
  </r>
  <r>
    <n v="1430"/>
    <x v="251"/>
    <x v="3"/>
    <x v="2"/>
    <x v="2"/>
    <x v="34"/>
    <n v="30635"/>
    <n v="5127.53"/>
  </r>
  <r>
    <n v="1431"/>
    <x v="252"/>
    <x v="2"/>
    <x v="0"/>
    <x v="6"/>
    <x v="70"/>
    <n v="47508"/>
    <n v="7064.3"/>
  </r>
  <r>
    <n v="1432"/>
    <x v="199"/>
    <x v="1"/>
    <x v="1"/>
    <x v="10"/>
    <x v="31"/>
    <n v="41686"/>
    <n v="4018.02"/>
  </r>
  <r>
    <n v="1433"/>
    <x v="253"/>
    <x v="3"/>
    <x v="0"/>
    <x v="6"/>
    <x v="65"/>
    <n v="19765"/>
    <n v="3991.11"/>
  </r>
  <r>
    <n v="1434"/>
    <x v="146"/>
    <x v="2"/>
    <x v="0"/>
    <x v="3"/>
    <x v="7"/>
    <n v="59661"/>
    <n v="13769.88"/>
  </r>
  <r>
    <n v="1435"/>
    <x v="239"/>
    <x v="1"/>
    <x v="0"/>
    <x v="3"/>
    <x v="65"/>
    <n v="11173"/>
    <n v="1677.1"/>
  </r>
  <r>
    <n v="1436"/>
    <x v="183"/>
    <x v="1"/>
    <x v="0"/>
    <x v="3"/>
    <x v="71"/>
    <n v="22327"/>
    <n v="4321.54"/>
  </r>
  <r>
    <n v="1437"/>
    <x v="162"/>
    <x v="3"/>
    <x v="0"/>
    <x v="0"/>
    <x v="44"/>
    <n v="50919"/>
    <n v="6385.55"/>
  </r>
  <r>
    <n v="1438"/>
    <x v="82"/>
    <x v="2"/>
    <x v="0"/>
    <x v="9"/>
    <x v="6"/>
    <n v="27038"/>
    <n v="6136.17"/>
  </r>
  <r>
    <n v="1439"/>
    <x v="12"/>
    <x v="2"/>
    <x v="1"/>
    <x v="1"/>
    <x v="24"/>
    <n v="26600"/>
    <n v="2217.92"/>
  </r>
  <r>
    <n v="1440"/>
    <x v="12"/>
    <x v="1"/>
    <x v="1"/>
    <x v="10"/>
    <x v="22"/>
    <n v="18505"/>
    <n v="3578.78"/>
  </r>
  <r>
    <n v="1441"/>
    <x v="254"/>
    <x v="1"/>
    <x v="2"/>
    <x v="13"/>
    <x v="25"/>
    <n v="11525"/>
    <n v="644.83000000000004"/>
  </r>
  <r>
    <n v="1442"/>
    <x v="223"/>
    <x v="1"/>
    <x v="2"/>
    <x v="13"/>
    <x v="13"/>
    <n v="25011"/>
    <n v="4338.49"/>
  </r>
  <r>
    <n v="1443"/>
    <x v="56"/>
    <x v="0"/>
    <x v="1"/>
    <x v="4"/>
    <x v="42"/>
    <n v="39420"/>
    <n v="2121.12"/>
  </r>
  <r>
    <n v="1444"/>
    <x v="255"/>
    <x v="1"/>
    <x v="2"/>
    <x v="11"/>
    <x v="81"/>
    <n v="44938"/>
    <n v="7402.6"/>
  </r>
  <r>
    <n v="1445"/>
    <x v="161"/>
    <x v="3"/>
    <x v="2"/>
    <x v="12"/>
    <x v="15"/>
    <n v="18918"/>
    <n v="4629.8"/>
  </r>
  <r>
    <n v="1446"/>
    <x v="256"/>
    <x v="2"/>
    <x v="0"/>
    <x v="0"/>
    <x v="8"/>
    <n v="43407"/>
    <n v="8545.92"/>
  </r>
  <r>
    <n v="1447"/>
    <x v="232"/>
    <x v="3"/>
    <x v="0"/>
    <x v="3"/>
    <x v="28"/>
    <n v="31175"/>
    <n v="7747.37"/>
  </r>
  <r>
    <n v="1448"/>
    <x v="246"/>
    <x v="3"/>
    <x v="0"/>
    <x v="0"/>
    <x v="49"/>
    <n v="41869"/>
    <n v="5412.19"/>
  </r>
  <r>
    <n v="1449"/>
    <x v="70"/>
    <x v="0"/>
    <x v="1"/>
    <x v="4"/>
    <x v="32"/>
    <n v="45408"/>
    <n v="6787.43"/>
  </r>
  <r>
    <n v="1450"/>
    <x v="257"/>
    <x v="3"/>
    <x v="2"/>
    <x v="12"/>
    <x v="75"/>
    <n v="1421"/>
    <n v="143.4"/>
  </r>
  <r>
    <n v="1451"/>
    <x v="258"/>
    <x v="0"/>
    <x v="0"/>
    <x v="6"/>
    <x v="46"/>
    <n v="37160"/>
    <n v="6156.2"/>
  </r>
  <r>
    <n v="1452"/>
    <x v="81"/>
    <x v="1"/>
    <x v="2"/>
    <x v="13"/>
    <x v="96"/>
    <n v="36884"/>
    <n v="4359.3100000000004"/>
  </r>
  <r>
    <n v="1453"/>
    <x v="154"/>
    <x v="0"/>
    <x v="0"/>
    <x v="0"/>
    <x v="97"/>
    <n v="26571"/>
    <n v="3092.34"/>
  </r>
  <r>
    <n v="1454"/>
    <x v="259"/>
    <x v="0"/>
    <x v="0"/>
    <x v="9"/>
    <x v="35"/>
    <n v="2039"/>
    <n v="160.99"/>
  </r>
  <r>
    <n v="1455"/>
    <x v="152"/>
    <x v="0"/>
    <x v="2"/>
    <x v="13"/>
    <x v="12"/>
    <n v="57680"/>
    <n v="13248.61"/>
  </r>
  <r>
    <n v="1456"/>
    <x v="260"/>
    <x v="3"/>
    <x v="0"/>
    <x v="6"/>
    <x v="38"/>
    <n v="4080"/>
    <n v="766.73"/>
  </r>
  <r>
    <n v="1457"/>
    <x v="261"/>
    <x v="1"/>
    <x v="1"/>
    <x v="7"/>
    <x v="54"/>
    <n v="23009"/>
    <n v="3102.67"/>
  </r>
  <r>
    <n v="1458"/>
    <x v="261"/>
    <x v="1"/>
    <x v="2"/>
    <x v="13"/>
    <x v="17"/>
    <n v="56487"/>
    <n v="12679.01"/>
  </r>
  <r>
    <n v="1459"/>
    <x v="262"/>
    <x v="2"/>
    <x v="1"/>
    <x v="1"/>
    <x v="2"/>
    <n v="38327"/>
    <n v="7803.86"/>
  </r>
  <r>
    <n v="1460"/>
    <x v="263"/>
    <x v="0"/>
    <x v="0"/>
    <x v="5"/>
    <x v="69"/>
    <n v="50191"/>
    <n v="12541.14"/>
  </r>
  <r>
    <n v="1461"/>
    <x v="261"/>
    <x v="2"/>
    <x v="2"/>
    <x v="2"/>
    <x v="17"/>
    <n v="38549"/>
    <n v="7547.66"/>
  </r>
  <r>
    <n v="1462"/>
    <x v="23"/>
    <x v="1"/>
    <x v="0"/>
    <x v="3"/>
    <x v="30"/>
    <n v="32181"/>
    <n v="5910.29"/>
  </r>
  <r>
    <n v="1463"/>
    <x v="264"/>
    <x v="0"/>
    <x v="2"/>
    <x v="14"/>
    <x v="31"/>
    <n v="9521"/>
    <n v="1695.04"/>
  </r>
  <r>
    <n v="1464"/>
    <x v="242"/>
    <x v="3"/>
    <x v="1"/>
    <x v="10"/>
    <x v="47"/>
    <n v="13825"/>
    <n v="1054.19"/>
  </r>
  <r>
    <n v="1465"/>
    <x v="265"/>
    <x v="2"/>
    <x v="2"/>
    <x v="2"/>
    <x v="54"/>
    <n v="43558"/>
    <n v="7188.82"/>
  </r>
  <r>
    <n v="1466"/>
    <x v="10"/>
    <x v="3"/>
    <x v="0"/>
    <x v="6"/>
    <x v="1"/>
    <n v="34722"/>
    <n v="6411.55"/>
  </r>
  <r>
    <n v="1467"/>
    <x v="257"/>
    <x v="0"/>
    <x v="2"/>
    <x v="12"/>
    <x v="58"/>
    <n v="8489"/>
    <n v="1583.49"/>
  </r>
  <r>
    <n v="1468"/>
    <x v="151"/>
    <x v="0"/>
    <x v="1"/>
    <x v="7"/>
    <x v="46"/>
    <n v="28248"/>
    <n v="5593.69"/>
  </r>
  <r>
    <n v="1469"/>
    <x v="218"/>
    <x v="3"/>
    <x v="0"/>
    <x v="6"/>
    <x v="23"/>
    <n v="44677"/>
    <n v="4916.1099999999997"/>
  </r>
  <r>
    <n v="1470"/>
    <x v="18"/>
    <x v="1"/>
    <x v="0"/>
    <x v="9"/>
    <x v="64"/>
    <n v="3125"/>
    <n v="579.23"/>
  </r>
  <r>
    <n v="1471"/>
    <x v="135"/>
    <x v="2"/>
    <x v="1"/>
    <x v="8"/>
    <x v="60"/>
    <n v="14852"/>
    <n v="1715.8"/>
  </r>
  <r>
    <n v="1472"/>
    <x v="186"/>
    <x v="1"/>
    <x v="1"/>
    <x v="4"/>
    <x v="42"/>
    <n v="22604"/>
    <n v="2497.65"/>
  </r>
  <r>
    <n v="1473"/>
    <x v="69"/>
    <x v="1"/>
    <x v="2"/>
    <x v="11"/>
    <x v="25"/>
    <n v="28696"/>
    <n v="6696.57"/>
  </r>
  <r>
    <n v="1474"/>
    <x v="266"/>
    <x v="2"/>
    <x v="1"/>
    <x v="8"/>
    <x v="28"/>
    <n v="40668"/>
    <n v="7438.25"/>
  </r>
  <r>
    <n v="1475"/>
    <x v="97"/>
    <x v="1"/>
    <x v="0"/>
    <x v="5"/>
    <x v="54"/>
    <n v="39009"/>
    <n v="6826.18"/>
  </r>
  <r>
    <n v="1476"/>
    <x v="267"/>
    <x v="2"/>
    <x v="2"/>
    <x v="13"/>
    <x v="30"/>
    <n v="19370"/>
    <n v="1454.47"/>
  </r>
  <r>
    <n v="1477"/>
    <x v="268"/>
    <x v="2"/>
    <x v="1"/>
    <x v="4"/>
    <x v="20"/>
    <n v="24753"/>
    <n v="3165.51"/>
  </r>
  <r>
    <n v="1478"/>
    <x v="269"/>
    <x v="0"/>
    <x v="2"/>
    <x v="13"/>
    <x v="73"/>
    <n v="2558"/>
    <n v="504.89"/>
  </r>
  <r>
    <n v="1479"/>
    <x v="98"/>
    <x v="2"/>
    <x v="1"/>
    <x v="7"/>
    <x v="76"/>
    <n v="47849"/>
    <n v="6914.19"/>
  </r>
  <r>
    <n v="1480"/>
    <x v="270"/>
    <x v="2"/>
    <x v="1"/>
    <x v="4"/>
    <x v="57"/>
    <n v="39798"/>
    <n v="4566.08"/>
  </r>
  <r>
    <n v="1481"/>
    <x v="89"/>
    <x v="3"/>
    <x v="2"/>
    <x v="13"/>
    <x v="98"/>
    <n v="32814"/>
    <n v="1891.51"/>
  </r>
  <r>
    <n v="1482"/>
    <x v="271"/>
    <x v="3"/>
    <x v="2"/>
    <x v="12"/>
    <x v="49"/>
    <n v="44583"/>
    <n v="10378.11"/>
  </r>
  <r>
    <n v="1483"/>
    <x v="272"/>
    <x v="0"/>
    <x v="2"/>
    <x v="14"/>
    <x v="40"/>
    <n v="25275"/>
    <n v="1631.35"/>
  </r>
  <r>
    <n v="1484"/>
    <x v="15"/>
    <x v="2"/>
    <x v="0"/>
    <x v="5"/>
    <x v="59"/>
    <n v="59431"/>
    <n v="12321.95"/>
  </r>
  <r>
    <n v="1485"/>
    <x v="93"/>
    <x v="1"/>
    <x v="0"/>
    <x v="6"/>
    <x v="60"/>
    <n v="55101"/>
    <n v="4625.2299999999996"/>
  </r>
  <r>
    <n v="1486"/>
    <x v="273"/>
    <x v="2"/>
    <x v="1"/>
    <x v="4"/>
    <x v="75"/>
    <n v="57360"/>
    <n v="9898.35"/>
  </r>
  <r>
    <n v="1487"/>
    <x v="54"/>
    <x v="0"/>
    <x v="0"/>
    <x v="3"/>
    <x v="8"/>
    <n v="41671"/>
    <n v="4650.8999999999996"/>
  </r>
  <r>
    <n v="1488"/>
    <x v="181"/>
    <x v="1"/>
    <x v="0"/>
    <x v="6"/>
    <x v="28"/>
    <n v="20919"/>
    <n v="2103.71"/>
  </r>
  <r>
    <n v="1489"/>
    <x v="222"/>
    <x v="0"/>
    <x v="0"/>
    <x v="0"/>
    <x v="11"/>
    <n v="38683"/>
    <n v="5053.42"/>
  </r>
  <r>
    <n v="1490"/>
    <x v="60"/>
    <x v="0"/>
    <x v="0"/>
    <x v="3"/>
    <x v="15"/>
    <n v="36036"/>
    <n v="2383.79"/>
  </r>
  <r>
    <n v="1491"/>
    <x v="30"/>
    <x v="0"/>
    <x v="0"/>
    <x v="0"/>
    <x v="17"/>
    <n v="16510"/>
    <n v="857.4"/>
  </r>
  <r>
    <n v="1492"/>
    <x v="25"/>
    <x v="3"/>
    <x v="1"/>
    <x v="10"/>
    <x v="56"/>
    <n v="11955"/>
    <n v="2064.2199999999998"/>
  </r>
  <r>
    <n v="1493"/>
    <x v="91"/>
    <x v="3"/>
    <x v="2"/>
    <x v="13"/>
    <x v="22"/>
    <n v="39948"/>
    <n v="9797.68"/>
  </r>
  <r>
    <n v="1494"/>
    <x v="213"/>
    <x v="1"/>
    <x v="0"/>
    <x v="5"/>
    <x v="40"/>
    <n v="18001"/>
    <n v="3721.56"/>
  </r>
  <r>
    <n v="1495"/>
    <x v="274"/>
    <x v="2"/>
    <x v="0"/>
    <x v="6"/>
    <x v="34"/>
    <n v="5269"/>
    <n v="425.82"/>
  </r>
  <r>
    <n v="1496"/>
    <x v="171"/>
    <x v="0"/>
    <x v="1"/>
    <x v="8"/>
    <x v="34"/>
    <n v="30365"/>
    <n v="7297.89"/>
  </r>
  <r>
    <n v="1497"/>
    <x v="228"/>
    <x v="0"/>
    <x v="1"/>
    <x v="7"/>
    <x v="8"/>
    <n v="16231"/>
    <n v="1933.2"/>
  </r>
  <r>
    <n v="1498"/>
    <x v="9"/>
    <x v="3"/>
    <x v="1"/>
    <x v="8"/>
    <x v="69"/>
    <n v="14885"/>
    <n v="3398.25"/>
  </r>
  <r>
    <n v="1499"/>
    <x v="12"/>
    <x v="0"/>
    <x v="1"/>
    <x v="1"/>
    <x v="64"/>
    <n v="43091"/>
    <n v="9009.7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2">
  <r>
    <n v="1022"/>
    <x v="0"/>
    <s v="West"/>
    <s v="Furniture"/>
    <s v="Chair"/>
    <s v="Customer_3"/>
    <n v="57467"/>
    <n v="14102.16"/>
  </r>
  <r>
    <n v="1456"/>
    <x v="1"/>
    <s v="North"/>
    <s v="Clothing"/>
    <s v="Jacket"/>
    <s v="Customer_81"/>
    <n v="4080"/>
    <n v="766.73"/>
  </r>
  <r>
    <n v="1164"/>
    <x v="2"/>
    <s v="West"/>
    <s v="Furniture"/>
    <s v="Table"/>
    <s v="Customer_73"/>
    <n v="35656"/>
    <n v="4048.01"/>
  </r>
  <r>
    <n v="1331"/>
    <x v="2"/>
    <s v="South"/>
    <s v="Clothing"/>
    <s v="Shirt"/>
    <s v="Customer_42"/>
    <n v="22593"/>
    <n v="4364.99"/>
  </r>
  <r>
    <n v="1185"/>
    <x v="3"/>
    <s v="East"/>
    <s v="Electronics"/>
    <s v="Headphones"/>
    <s v="Customer_89"/>
    <n v="3517"/>
    <n v="438.47"/>
  </r>
  <r>
    <n v="1278"/>
    <x v="3"/>
    <s v="West"/>
    <s v="Clothing"/>
    <s v="Jeans"/>
    <s v="Customer_34"/>
    <n v="10162"/>
    <n v="1719.12"/>
  </r>
  <r>
    <n v="1329"/>
    <x v="4"/>
    <s v="South"/>
    <s v="Electronics"/>
    <s v="Monitor"/>
    <s v="Customer_39"/>
    <n v="50780"/>
    <n v="4303.32"/>
  </r>
  <r>
    <n v="1111"/>
    <x v="5"/>
    <s v="South"/>
    <s v="Clothing"/>
    <s v="Jacket"/>
    <s v="Customer_47"/>
    <n v="38623"/>
    <n v="8866.7999999999993"/>
  </r>
  <r>
    <n v="1175"/>
    <x v="6"/>
    <s v="West"/>
    <s v="Electronics"/>
    <s v="Monitor"/>
    <s v="Customer_27"/>
    <n v="26267"/>
    <n v="3915.77"/>
  </r>
  <r>
    <n v="1429"/>
    <x v="6"/>
    <s v="East"/>
    <s v="Electronics"/>
    <s v="Mobile"/>
    <s v="Customer_21"/>
    <n v="11967"/>
    <n v="1460.9"/>
  </r>
  <r>
    <n v="1105"/>
    <x v="7"/>
    <s v="West"/>
    <s v="Electronics"/>
    <s v="Headphones"/>
    <s v="Customer_13"/>
    <n v="13069"/>
    <n v="2680.24"/>
  </r>
  <r>
    <n v="1165"/>
    <x v="7"/>
    <s v="East"/>
    <s v="Electronics"/>
    <s v="Monitor"/>
    <s v="Customer_41"/>
    <n v="20977"/>
    <n v="4531.8"/>
  </r>
  <r>
    <n v="1379"/>
    <x v="7"/>
    <s v="South"/>
    <s v="Furniture"/>
    <s v="Sofa"/>
    <s v="Customer_44"/>
    <n v="11064"/>
    <n v="2469.5700000000002"/>
  </r>
  <r>
    <n v="1130"/>
    <x v="8"/>
    <s v="East"/>
    <s v="Furniture"/>
    <s v="Shelf"/>
    <s v="Customer_44"/>
    <n v="30871"/>
    <n v="2128.04"/>
  </r>
  <r>
    <n v="1304"/>
    <x v="8"/>
    <s v="South"/>
    <s v="Clothing"/>
    <s v="Shirt"/>
    <s v="Customer_47"/>
    <n v="4430"/>
    <n v="1092.3499999999999"/>
  </r>
  <r>
    <n v="1273"/>
    <x v="9"/>
    <s v="North"/>
    <s v="Furniture"/>
    <s v="Sofa"/>
    <s v="Customer_41"/>
    <n v="12771"/>
    <n v="3105.25"/>
  </r>
  <r>
    <n v="1330"/>
    <x v="9"/>
    <s v="West"/>
    <s v="Clothing"/>
    <s v="Jeans"/>
    <s v="Customer_35"/>
    <n v="31030"/>
    <n v="7320.01"/>
  </r>
  <r>
    <n v="1472"/>
    <x v="9"/>
    <s v="East"/>
    <s v="Electronics"/>
    <s v="Tablet"/>
    <s v="Customer_75"/>
    <n v="22604"/>
    <n v="2497.65"/>
  </r>
  <r>
    <n v="1052"/>
    <x v="10"/>
    <s v="West"/>
    <s v="Clothing"/>
    <s v="Jeans"/>
    <s v="Customer_45"/>
    <n v="20842"/>
    <n v="3606.4"/>
  </r>
  <r>
    <n v="1290"/>
    <x v="10"/>
    <s v="North"/>
    <s v="Clothing"/>
    <s v="Jacket"/>
    <s v="Customer_95"/>
    <n v="51236"/>
    <n v="3265.53"/>
  </r>
  <r>
    <n v="1221"/>
    <x v="11"/>
    <s v="West"/>
    <s v="Clothing"/>
    <s v="Jacket"/>
    <s v="Customer_5"/>
    <n v="5568"/>
    <n v="332.35"/>
  </r>
  <r>
    <n v="1355"/>
    <x v="11"/>
    <s v="West"/>
    <s v="Furniture"/>
    <s v="Sofa"/>
    <s v="Customer_14"/>
    <n v="50117"/>
    <n v="10223.23"/>
  </r>
  <r>
    <n v="1437"/>
    <x v="11"/>
    <s v="North"/>
    <s v="Clothing"/>
    <s v="Shoes"/>
    <s v="Customer_98"/>
    <n v="50919"/>
    <n v="6385.55"/>
  </r>
  <r>
    <n v="1168"/>
    <x v="12"/>
    <s v="South"/>
    <s v="Clothing"/>
    <s v="Shoes"/>
    <s v="Customer_44"/>
    <n v="55847"/>
    <n v="7533.46"/>
  </r>
  <r>
    <n v="1207"/>
    <x v="12"/>
    <s v="North"/>
    <s v="Electronics"/>
    <s v="Mobile"/>
    <s v="Customer_87"/>
    <n v="1055"/>
    <n v="218.44"/>
  </r>
  <r>
    <n v="1321"/>
    <x v="12"/>
    <s v="West"/>
    <s v="Clothing"/>
    <s v="Shoes"/>
    <s v="Customer_32"/>
    <n v="38646"/>
    <n v="3239.41"/>
  </r>
  <r>
    <n v="1053"/>
    <x v="13"/>
    <s v="North"/>
    <s v="Furniture"/>
    <s v="Desk"/>
    <s v="Customer_45"/>
    <n v="20388"/>
    <n v="1421.59"/>
  </r>
  <r>
    <n v="1376"/>
    <x v="14"/>
    <s v="East"/>
    <s v="Clothing"/>
    <s v="Shoes"/>
    <s v="Customer_6"/>
    <n v="13196"/>
    <n v="1001.5"/>
  </r>
  <r>
    <n v="1005"/>
    <x v="15"/>
    <s v="East"/>
    <s v="Electronics"/>
    <s v="Tablet"/>
    <s v="Customer_63"/>
    <n v="2473"/>
    <n v="277.11"/>
  </r>
  <r>
    <n v="1272"/>
    <x v="15"/>
    <s v="West"/>
    <s v="Furniture"/>
    <s v="Shelf"/>
    <s v="Customer_89"/>
    <n v="21412"/>
    <n v="4387.5200000000004"/>
  </r>
  <r>
    <n v="1357"/>
    <x v="16"/>
    <s v="North"/>
    <s v="Electronics"/>
    <s v="Monitor"/>
    <s v="Customer_52"/>
    <n v="21132"/>
    <n v="3006.21"/>
  </r>
  <r>
    <n v="1119"/>
    <x v="17"/>
    <s v="West"/>
    <s v="Clothing"/>
    <s v="Shoes"/>
    <s v="Customer_18"/>
    <n v="37694"/>
    <n v="5276.25"/>
  </r>
  <r>
    <n v="1261"/>
    <x v="18"/>
    <s v="West"/>
    <s v="Electronics"/>
    <s v="Mobile"/>
    <s v="Customer_56"/>
    <n v="47228"/>
    <n v="5113.78"/>
  </r>
  <r>
    <n v="1488"/>
    <x v="18"/>
    <s v="East"/>
    <s v="Clothing"/>
    <s v="Jacket"/>
    <s v="Customer_76"/>
    <n v="20919"/>
    <n v="2103.71"/>
  </r>
  <r>
    <n v="1047"/>
    <x v="19"/>
    <s v="East"/>
    <s v="Furniture"/>
    <s v="Shelf"/>
    <s v="Customer_7"/>
    <n v="59243"/>
    <n v="6378.22"/>
  </r>
  <r>
    <n v="1197"/>
    <x v="19"/>
    <s v="East"/>
    <s v="Electronics"/>
    <s v="Tablet"/>
    <s v="Customer_74"/>
    <n v="21721"/>
    <n v="3205.32"/>
  </r>
  <r>
    <n v="1080"/>
    <x v="20"/>
    <s v="East"/>
    <s v="Clothing"/>
    <s v="Jeans"/>
    <s v="Customer_21"/>
    <n v="56140"/>
    <n v="13069.82"/>
  </r>
  <r>
    <n v="1368"/>
    <x v="20"/>
    <s v="North"/>
    <s v="Clothing"/>
    <s v="Jacket"/>
    <s v="Customer_51"/>
    <n v="59450"/>
    <n v="14310.46"/>
  </r>
  <r>
    <n v="1364"/>
    <x v="21"/>
    <s v="North"/>
    <s v="Clothing"/>
    <s v="Jacket"/>
    <s v="Customer_46"/>
    <n v="33489"/>
    <n v="5116.92"/>
  </r>
  <r>
    <n v="1222"/>
    <x v="22"/>
    <s v="South"/>
    <s v="Electronics"/>
    <s v="Laptop"/>
    <s v="Customer_83"/>
    <n v="1753"/>
    <n v="259.97000000000003"/>
  </r>
  <r>
    <n v="1322"/>
    <x v="22"/>
    <s v="South"/>
    <s v="Furniture"/>
    <s v="Table"/>
    <s v="Customer_73"/>
    <n v="36516"/>
    <n v="5927.3"/>
  </r>
  <r>
    <n v="1023"/>
    <x v="23"/>
    <s v="East"/>
    <s v="Electronics"/>
    <s v="Mobile"/>
    <s v="Customer_72"/>
    <n v="34356"/>
    <n v="3155.27"/>
  </r>
  <r>
    <n v="1088"/>
    <x v="23"/>
    <s v="East"/>
    <s v="Furniture"/>
    <s v="Table"/>
    <s v="Customer_18"/>
    <n v="23618"/>
    <n v="2834.28"/>
  </r>
  <r>
    <n v="1254"/>
    <x v="23"/>
    <s v="South"/>
    <s v="Clothing"/>
    <s v="Shoes"/>
    <s v="Customer_27"/>
    <n v="50033"/>
    <n v="9170.69"/>
  </r>
  <r>
    <n v="1462"/>
    <x v="23"/>
    <s v="East"/>
    <s v="Clothing"/>
    <s v="Shirt"/>
    <s v="Customer_73"/>
    <n v="32181"/>
    <n v="5910.29"/>
  </r>
  <r>
    <n v="1145"/>
    <x v="24"/>
    <s v="North"/>
    <s v="Furniture"/>
    <s v="Chair"/>
    <s v="Customer_11"/>
    <n v="34852"/>
    <n v="2485.25"/>
  </r>
  <r>
    <n v="1184"/>
    <x v="24"/>
    <s v="South"/>
    <s v="Clothing"/>
    <s v="Sweater"/>
    <s v="Customer_68"/>
    <n v="44695"/>
    <n v="2738.71"/>
  </r>
  <r>
    <n v="1129"/>
    <x v="25"/>
    <s v="East"/>
    <s v="Furniture"/>
    <s v="Chair"/>
    <s v="Customer_32"/>
    <n v="5725"/>
    <n v="1116.7"/>
  </r>
  <r>
    <n v="1147"/>
    <x v="26"/>
    <s v="South"/>
    <s v="Clothing"/>
    <s v="Shirt"/>
    <s v="Customer_98"/>
    <n v="44742"/>
    <n v="3210.54"/>
  </r>
  <r>
    <n v="1148"/>
    <x v="26"/>
    <s v="South"/>
    <s v="Clothing"/>
    <s v="Sweater"/>
    <s v="Customer_49"/>
    <n v="46685"/>
    <n v="9326.3799999999992"/>
  </r>
  <r>
    <n v="1333"/>
    <x v="27"/>
    <s v="East"/>
    <s v="Furniture"/>
    <s v="Desk"/>
    <s v="Customer_56"/>
    <n v="23594"/>
    <n v="3161.06"/>
  </r>
  <r>
    <n v="1341"/>
    <x v="27"/>
    <s v="East"/>
    <s v="Clothing"/>
    <s v="Jacket"/>
    <s v="Customer_4"/>
    <n v="48784"/>
    <n v="7435.2"/>
  </r>
  <r>
    <n v="1396"/>
    <x v="27"/>
    <s v="West"/>
    <s v="Furniture"/>
    <s v="Desk"/>
    <s v="Customer_67"/>
    <n v="26822"/>
    <n v="3622.37"/>
  </r>
  <r>
    <n v="1058"/>
    <x v="28"/>
    <s v="North"/>
    <s v="Furniture"/>
    <s v="Chair"/>
    <s v="Customer_29"/>
    <n v="26427"/>
    <n v="5020.2299999999996"/>
  </r>
  <r>
    <n v="1169"/>
    <x v="28"/>
    <s v="West"/>
    <s v="Clothing"/>
    <s v="Jeans"/>
    <s v="Customer_49"/>
    <n v="884"/>
    <n v="194.37"/>
  </r>
  <r>
    <n v="1332"/>
    <x v="28"/>
    <s v="East"/>
    <s v="Clothing"/>
    <s v="Jacket"/>
    <s v="Customer_42"/>
    <n v="56341"/>
    <n v="9976.18"/>
  </r>
  <r>
    <n v="1443"/>
    <x v="28"/>
    <s v="South"/>
    <s v="Electronics"/>
    <s v="Tablet"/>
    <s v="Customer_75"/>
    <n v="39420"/>
    <n v="2121.12"/>
  </r>
  <r>
    <n v="1039"/>
    <x v="29"/>
    <s v="North"/>
    <s v="Furniture"/>
    <s v="Table"/>
    <s v="Customer_35"/>
    <n v="16802"/>
    <n v="1416.11"/>
  </r>
  <r>
    <n v="1163"/>
    <x v="29"/>
    <s v="East"/>
    <s v="Electronics"/>
    <s v="Headphones"/>
    <s v="Customer_80"/>
    <n v="27139"/>
    <n v="1380.2"/>
  </r>
  <r>
    <n v="1102"/>
    <x v="30"/>
    <s v="North"/>
    <s v="Electronics"/>
    <s v="Monitor"/>
    <s v="Customer_10"/>
    <n v="41991"/>
    <n v="9703.89"/>
  </r>
  <r>
    <n v="1018"/>
    <x v="31"/>
    <s v="West"/>
    <s v="Electronics"/>
    <s v="Laptop"/>
    <s v="Customer_60"/>
    <n v="36121"/>
    <n v="5050.2700000000004"/>
  </r>
  <r>
    <n v="1084"/>
    <x v="31"/>
    <s v="East"/>
    <s v="Furniture"/>
    <s v="Shelf"/>
    <s v="Customer_8"/>
    <n v="10060"/>
    <n v="1854.15"/>
  </r>
  <r>
    <n v="1470"/>
    <x v="31"/>
    <s v="East"/>
    <s v="Clothing"/>
    <s v="Sweater"/>
    <s v="Customer_99"/>
    <n v="3125"/>
    <n v="579.23"/>
  </r>
  <r>
    <n v="1356"/>
    <x v="32"/>
    <s v="North"/>
    <s v="Clothing"/>
    <s v="Sweater"/>
    <s v="Customer_91"/>
    <n v="33201"/>
    <n v="6169.41"/>
  </r>
  <r>
    <n v="1033"/>
    <x v="33"/>
    <s v="South"/>
    <s v="Clothing"/>
    <s v="Sweater"/>
    <s v="Customer_37"/>
    <n v="11238"/>
    <n v="1023.85"/>
  </r>
  <r>
    <n v="1015"/>
    <x v="34"/>
    <s v="East"/>
    <s v="Electronics"/>
    <s v="Laptop"/>
    <s v="Customer_62"/>
    <n v="46511"/>
    <n v="7880.66"/>
  </r>
  <r>
    <n v="1300"/>
    <x v="34"/>
    <s v="East"/>
    <s v="Electronics"/>
    <s v="Tablet"/>
    <s v="Customer_60"/>
    <n v="38315"/>
    <n v="8871.69"/>
  </r>
  <r>
    <n v="1484"/>
    <x v="34"/>
    <s v="West"/>
    <s v="Clothing"/>
    <s v="Jeans"/>
    <s v="Customer_26"/>
    <n v="59431"/>
    <n v="12321.95"/>
  </r>
  <r>
    <n v="1303"/>
    <x v="35"/>
    <s v="South"/>
    <s v="Furniture"/>
    <s v="Desk"/>
    <s v="Customer_90"/>
    <n v="38618"/>
    <n v="8442.77"/>
  </r>
  <r>
    <n v="1132"/>
    <x v="36"/>
    <s v="East"/>
    <s v="Electronics"/>
    <s v="Tablet"/>
    <s v="Customer_16"/>
    <n v="28951"/>
    <n v="4550.2"/>
  </r>
  <r>
    <n v="1131"/>
    <x v="37"/>
    <s v="North"/>
    <s v="Furniture"/>
    <s v="Sofa"/>
    <s v="Customer_82"/>
    <n v="24749"/>
    <n v="4502.28"/>
  </r>
  <r>
    <n v="1404"/>
    <x v="37"/>
    <s v="East"/>
    <s v="Electronics"/>
    <s v="Headphones"/>
    <s v="Customer_20"/>
    <n v="36229"/>
    <n v="4094.75"/>
  </r>
  <r>
    <n v="1384"/>
    <x v="38"/>
    <s v="East"/>
    <s v="Electronics"/>
    <s v="Laptop"/>
    <s v="Customer_70"/>
    <n v="58277"/>
    <n v="3461.39"/>
  </r>
  <r>
    <n v="1045"/>
    <x v="39"/>
    <s v="West"/>
    <s v="Electronics"/>
    <s v="Mobile"/>
    <s v="Customer_7"/>
    <n v="23714"/>
    <n v="2215.31"/>
  </r>
  <r>
    <n v="1347"/>
    <x v="39"/>
    <s v="West"/>
    <s v="Furniture"/>
    <s v="Chair"/>
    <s v="Customer_42"/>
    <n v="5772"/>
    <n v="1288.18"/>
  </r>
  <r>
    <n v="1071"/>
    <x v="40"/>
    <s v="West"/>
    <s v="Furniture"/>
    <s v="Table"/>
    <s v="Customer_11"/>
    <n v="1118"/>
    <n v="246.49"/>
  </r>
  <r>
    <n v="1138"/>
    <x v="40"/>
    <s v="South"/>
    <s v="Electronics"/>
    <s v="Headphones"/>
    <s v="Customer_15"/>
    <n v="56720"/>
    <n v="7886.67"/>
  </r>
  <r>
    <n v="1224"/>
    <x v="40"/>
    <s v="North"/>
    <s v="Electronics"/>
    <s v="Mobile"/>
    <s v="Customer_92"/>
    <n v="45098"/>
    <n v="5588.34"/>
  </r>
  <r>
    <n v="1249"/>
    <x v="41"/>
    <s v="North"/>
    <s v="Electronics"/>
    <s v="Mobile"/>
    <s v="Customer_2"/>
    <n v="50439"/>
    <n v="4509.29"/>
  </r>
  <r>
    <n v="1187"/>
    <x v="42"/>
    <s v="South"/>
    <s v="Furniture"/>
    <s v="Sofa"/>
    <s v="Customer_3"/>
    <n v="52465"/>
    <n v="9514.64"/>
  </r>
  <r>
    <n v="1209"/>
    <x v="43"/>
    <s v="West"/>
    <s v="Furniture"/>
    <s v="Chair"/>
    <s v="Customer_3"/>
    <n v="26524"/>
    <n v="4172.67"/>
  </r>
  <r>
    <n v="1453"/>
    <x v="43"/>
    <s v="South"/>
    <s v="Clothing"/>
    <s v="Shoes"/>
    <s v="Customer_66"/>
    <n v="26571"/>
    <n v="3092.34"/>
  </r>
  <r>
    <n v="1117"/>
    <x v="44"/>
    <s v="South"/>
    <s v="Furniture"/>
    <s v="Sofa"/>
    <s v="Customer_27"/>
    <n v="52279"/>
    <n v="11199.03"/>
  </r>
  <r>
    <n v="1401"/>
    <x v="45"/>
    <s v="South"/>
    <s v="Clothing"/>
    <s v="Sweater"/>
    <s v="Customer_2"/>
    <n v="27564"/>
    <n v="2418.8000000000002"/>
  </r>
  <r>
    <n v="1100"/>
    <x v="46"/>
    <s v="East"/>
    <s v="Clothing"/>
    <s v="Shirt"/>
    <s v="Customer_5"/>
    <n v="23021"/>
    <n v="4109.05"/>
  </r>
  <r>
    <n v="1103"/>
    <x v="47"/>
    <s v="North"/>
    <s v="Clothing"/>
    <s v="Jacket"/>
    <s v="Customer_40"/>
    <n v="45408"/>
    <n v="2567.09"/>
  </r>
  <r>
    <n v="1056"/>
    <x v="48"/>
    <s v="West"/>
    <s v="Furniture"/>
    <s v="Chair"/>
    <s v="Customer_93"/>
    <n v="2832"/>
    <n v="423.76"/>
  </r>
  <r>
    <n v="1285"/>
    <x v="48"/>
    <s v="South"/>
    <s v="Clothing"/>
    <s v="Jeans"/>
    <s v="Customer_81"/>
    <n v="25076"/>
    <n v="4282.53"/>
  </r>
  <r>
    <n v="1335"/>
    <x v="48"/>
    <s v="East"/>
    <s v="Clothing"/>
    <s v="Jacket"/>
    <s v="Customer_57"/>
    <n v="21293"/>
    <n v="2725.41"/>
  </r>
  <r>
    <n v="1487"/>
    <x v="48"/>
    <s v="South"/>
    <s v="Clothing"/>
    <s v="Shirt"/>
    <s v="Customer_51"/>
    <n v="41671"/>
    <n v="4650.8999999999996"/>
  </r>
  <r>
    <n v="1096"/>
    <x v="49"/>
    <s v="West"/>
    <s v="Clothing"/>
    <s v="Jacket"/>
    <s v="Customer_93"/>
    <n v="51263"/>
    <n v="8397.6299999999992"/>
  </r>
  <r>
    <n v="1264"/>
    <x v="49"/>
    <s v="South"/>
    <s v="Electronics"/>
    <s v="Laptop"/>
    <s v="Customer_26"/>
    <n v="44203"/>
    <n v="4340.57"/>
  </r>
  <r>
    <n v="1282"/>
    <x v="49"/>
    <s v="East"/>
    <s v="Clothing"/>
    <s v="Jeans"/>
    <s v="Customer_71"/>
    <n v="24709"/>
    <n v="3645.62"/>
  </r>
  <r>
    <n v="1482"/>
    <x v="50"/>
    <s v="North"/>
    <s v="Furniture"/>
    <s v="Shelf"/>
    <s v="Customer_27"/>
    <n v="44583"/>
    <n v="10378.11"/>
  </r>
  <r>
    <n v="1035"/>
    <x v="51"/>
    <s v="West"/>
    <s v="Electronics"/>
    <s v="Headphones"/>
    <s v="Customer_59"/>
    <n v="10690"/>
    <n v="2343.5"/>
  </r>
  <r>
    <n v="1266"/>
    <x v="51"/>
    <s v="South"/>
    <s v="Clothing"/>
    <s v="Sweater"/>
    <s v="Customer_98"/>
    <n v="56843"/>
    <n v="6558.66"/>
  </r>
  <r>
    <n v="1395"/>
    <x v="52"/>
    <s v="North"/>
    <s v="Electronics"/>
    <s v="Laptop"/>
    <s v="Customer_20"/>
    <n v="24567"/>
    <n v="4416.72"/>
  </r>
  <r>
    <n v="1394"/>
    <x v="53"/>
    <s v="North"/>
    <s v="Electronics"/>
    <s v="Tablet"/>
    <s v="Customer_80"/>
    <n v="50944"/>
    <n v="9229.6200000000008"/>
  </r>
  <r>
    <n v="1214"/>
    <x v="54"/>
    <s v="North"/>
    <s v="Electronics"/>
    <s v="Mobile"/>
    <s v="Customer_41"/>
    <n v="32288"/>
    <n v="7637.75"/>
  </r>
  <r>
    <n v="1253"/>
    <x v="54"/>
    <s v="South"/>
    <s v="Electronics"/>
    <s v="Headphones"/>
    <s v="Customer_31"/>
    <n v="25511"/>
    <n v="3769.5"/>
  </r>
  <r>
    <n v="1367"/>
    <x v="54"/>
    <s v="South"/>
    <s v="Furniture"/>
    <s v="Chair"/>
    <s v="Customer_85"/>
    <n v="48819"/>
    <n v="6640.57"/>
  </r>
  <r>
    <n v="1373"/>
    <x v="54"/>
    <s v="East"/>
    <s v="Clothing"/>
    <s v="Shirt"/>
    <s v="Customer_75"/>
    <n v="2714"/>
    <n v="358.35"/>
  </r>
  <r>
    <n v="1245"/>
    <x v="55"/>
    <s v="South"/>
    <s v="Furniture"/>
    <s v="Sofa"/>
    <s v="Customer_96"/>
    <n v="36492"/>
    <n v="8494.91"/>
  </r>
  <r>
    <n v="1319"/>
    <x v="55"/>
    <s v="North"/>
    <s v="Clothing"/>
    <s v="Jeans"/>
    <s v="Customer_22"/>
    <n v="57136"/>
    <n v="12283.19"/>
  </r>
  <r>
    <n v="1238"/>
    <x v="56"/>
    <s v="East"/>
    <s v="Electronics"/>
    <s v="Headphones"/>
    <s v="Customer_2"/>
    <n v="27675"/>
    <n v="4560.07"/>
  </r>
  <r>
    <n v="1377"/>
    <x v="56"/>
    <s v="North"/>
    <s v="Electronics"/>
    <s v="Laptop"/>
    <s v="Customer_13"/>
    <n v="48159"/>
    <n v="4654.79"/>
  </r>
  <r>
    <n v="1375"/>
    <x v="57"/>
    <s v="South"/>
    <s v="Furniture"/>
    <s v="Sofa"/>
    <s v="Customer_18"/>
    <n v="38165"/>
    <n v="6104.26"/>
  </r>
  <r>
    <n v="1087"/>
    <x v="58"/>
    <s v="West"/>
    <s v="Clothing"/>
    <s v="Shirt"/>
    <s v="Customer_25"/>
    <n v="20610"/>
    <n v="4546.68"/>
  </r>
  <r>
    <n v="1196"/>
    <x v="58"/>
    <s v="South"/>
    <s v="Furniture"/>
    <s v="Desk"/>
    <s v="Customer_20"/>
    <n v="55861"/>
    <n v="13286.11"/>
  </r>
  <r>
    <n v="1051"/>
    <x v="59"/>
    <s v="South"/>
    <s v="Clothing"/>
    <s v="Shirt"/>
    <s v="Customer_50"/>
    <n v="51408"/>
    <n v="6103.69"/>
  </r>
  <r>
    <n v="1255"/>
    <x v="59"/>
    <s v="West"/>
    <s v="Clothing"/>
    <s v="Jacket"/>
    <s v="Customer_74"/>
    <n v="49500"/>
    <n v="12081.91"/>
  </r>
  <r>
    <n v="1326"/>
    <x v="59"/>
    <s v="South"/>
    <s v="Clothing"/>
    <s v="Shoes"/>
    <s v="Customer_21"/>
    <n v="52083"/>
    <n v="3861.34"/>
  </r>
  <r>
    <n v="1041"/>
    <x v="60"/>
    <s v="North"/>
    <s v="Clothing"/>
    <s v="Jeans"/>
    <s v="Customer_32"/>
    <n v="38139"/>
    <n v="8076.27"/>
  </r>
  <r>
    <n v="1258"/>
    <x v="60"/>
    <s v="East"/>
    <s v="Furniture"/>
    <s v="Sofa"/>
    <s v="Customer_13"/>
    <n v="52423"/>
    <n v="4919.82"/>
  </r>
  <r>
    <n v="1430"/>
    <x v="61"/>
    <s v="North"/>
    <s v="Furniture"/>
    <s v="Chair"/>
    <s v="Customer_50"/>
    <n v="30635"/>
    <n v="5127.53"/>
  </r>
  <r>
    <n v="1171"/>
    <x v="62"/>
    <s v="East"/>
    <s v="Electronics"/>
    <s v="Tablet"/>
    <s v="Customer_83"/>
    <n v="14105"/>
    <n v="1529.57"/>
  </r>
  <r>
    <n v="1208"/>
    <x v="62"/>
    <s v="North"/>
    <s v="Electronics"/>
    <s v="Mobile"/>
    <s v="Customer_26"/>
    <n v="28369"/>
    <n v="2248.94"/>
  </r>
  <r>
    <n v="1003"/>
    <x v="63"/>
    <s v="South"/>
    <s v="Clothing"/>
    <s v="Shirt"/>
    <s v="Customer_95"/>
    <n v="29944"/>
    <n v="7296.25"/>
  </r>
  <r>
    <n v="1009"/>
    <x v="64"/>
    <s v="North"/>
    <s v="Electronics"/>
    <s v="Headphones"/>
    <s v="Customer_72"/>
    <n v="22281"/>
    <n v="2129.1999999999998"/>
  </r>
  <r>
    <n v="1498"/>
    <x v="64"/>
    <s v="North"/>
    <s v="Electronics"/>
    <s v="Laptop"/>
    <s v="Customer_47"/>
    <n v="14885"/>
    <n v="3398.25"/>
  </r>
  <r>
    <n v="1386"/>
    <x v="65"/>
    <s v="West"/>
    <s v="Furniture"/>
    <s v="Desk"/>
    <s v="Customer_34"/>
    <n v="41943"/>
    <n v="5025.79"/>
  </r>
  <r>
    <n v="1228"/>
    <x v="66"/>
    <s v="North"/>
    <s v="Electronics"/>
    <s v="Headphones"/>
    <s v="Customer_93"/>
    <n v="46629"/>
    <n v="3702.45"/>
  </r>
  <r>
    <n v="1044"/>
    <x v="67"/>
    <s v="South"/>
    <s v="Clothing"/>
    <s v="Shoes"/>
    <s v="Customer_10"/>
    <n v="36533"/>
    <n v="9010.16"/>
  </r>
  <r>
    <n v="1220"/>
    <x v="68"/>
    <s v="West"/>
    <s v="Furniture"/>
    <s v="Desk"/>
    <s v="Customer_26"/>
    <n v="53300"/>
    <n v="3099.67"/>
  </r>
  <r>
    <n v="1391"/>
    <x v="68"/>
    <s v="South"/>
    <s v="Electronics"/>
    <s v="Laptop"/>
    <s v="Customer_91"/>
    <n v="32479"/>
    <n v="5412.28"/>
  </r>
  <r>
    <n v="1419"/>
    <x v="68"/>
    <s v="West"/>
    <s v="Clothing"/>
    <s v="Jacket"/>
    <s v="Customer_82"/>
    <n v="43704"/>
    <n v="10175"/>
  </r>
  <r>
    <n v="1445"/>
    <x v="68"/>
    <s v="North"/>
    <s v="Furniture"/>
    <s v="Shelf"/>
    <s v="Customer_19"/>
    <n v="18918"/>
    <n v="4629.8"/>
  </r>
  <r>
    <n v="1036"/>
    <x v="69"/>
    <s v="North"/>
    <s v="Clothing"/>
    <s v="Shirt"/>
    <s v="Customer_73"/>
    <n v="38864"/>
    <n v="3943.07"/>
  </r>
  <r>
    <n v="1143"/>
    <x v="69"/>
    <s v="East"/>
    <s v="Furniture"/>
    <s v="Table"/>
    <s v="Customer_31"/>
    <n v="52777"/>
    <n v="8314.57"/>
  </r>
  <r>
    <n v="1150"/>
    <x v="69"/>
    <s v="North"/>
    <s v="Clothing"/>
    <s v="Jacket"/>
    <s v="Customer_37"/>
    <n v="31470"/>
    <n v="6025.08"/>
  </r>
  <r>
    <n v="1027"/>
    <x v="70"/>
    <s v="South"/>
    <s v="Clothing"/>
    <s v="Shoes"/>
    <s v="Customer_87"/>
    <n v="21117"/>
    <n v="4748.3100000000004"/>
  </r>
  <r>
    <n v="1155"/>
    <x v="70"/>
    <s v="South"/>
    <s v="Furniture"/>
    <s v="Sofa"/>
    <s v="Customer_20"/>
    <n v="54870"/>
    <n v="3453.85"/>
  </r>
  <r>
    <n v="1369"/>
    <x v="70"/>
    <s v="East"/>
    <s v="Clothing"/>
    <s v="Sweater"/>
    <s v="Customer_99"/>
    <n v="2290"/>
    <n v="252.39"/>
  </r>
  <r>
    <n v="1399"/>
    <x v="70"/>
    <s v="West"/>
    <s v="Electronics"/>
    <s v="Laptop"/>
    <s v="Customer_63"/>
    <n v="51408"/>
    <n v="8713.85"/>
  </r>
  <r>
    <n v="1030"/>
    <x v="71"/>
    <s v="East"/>
    <s v="Furniture"/>
    <s v="Shelf"/>
    <s v="Customer_55"/>
    <n v="21394"/>
    <n v="1242.25"/>
  </r>
  <r>
    <n v="1194"/>
    <x v="71"/>
    <s v="North"/>
    <s v="Clothing"/>
    <s v="Jeans"/>
    <s v="Customer_74"/>
    <n v="24377"/>
    <n v="2896.7"/>
  </r>
  <r>
    <n v="1390"/>
    <x v="71"/>
    <s v="North"/>
    <s v="Furniture"/>
    <s v="Chair"/>
    <s v="Customer_76"/>
    <n v="41734"/>
    <n v="3860.73"/>
  </r>
  <r>
    <n v="1067"/>
    <x v="72"/>
    <s v="East"/>
    <s v="Electronics"/>
    <s v="Mobile"/>
    <s v="Customer_62"/>
    <n v="45974"/>
    <n v="11369.33"/>
  </r>
  <r>
    <n v="1072"/>
    <x v="73"/>
    <s v="North"/>
    <s v="Furniture"/>
    <s v="Chair"/>
    <s v="Customer_36"/>
    <n v="56356"/>
    <n v="8567.36"/>
  </r>
  <r>
    <n v="1420"/>
    <x v="74"/>
    <s v="North"/>
    <s v="Furniture"/>
    <s v="Sofa"/>
    <s v="Customer_79"/>
    <n v="11206"/>
    <n v="1026.95"/>
  </r>
  <r>
    <n v="1125"/>
    <x v="75"/>
    <s v="North"/>
    <s v="Clothing"/>
    <s v="Jeans"/>
    <s v="Customer_81"/>
    <n v="18757"/>
    <n v="3159.62"/>
  </r>
  <r>
    <n v="1358"/>
    <x v="75"/>
    <s v="West"/>
    <s v="Furniture"/>
    <s v="Shelf"/>
    <s v="Customer_39"/>
    <n v="559"/>
    <n v="127.07"/>
  </r>
  <r>
    <n v="1315"/>
    <x v="76"/>
    <s v="West"/>
    <s v="Furniture"/>
    <s v="Shelf"/>
    <s v="Customer_47"/>
    <n v="54627"/>
    <n v="6806.4"/>
  </r>
  <r>
    <n v="1374"/>
    <x v="76"/>
    <s v="North"/>
    <s v="Clothing"/>
    <s v="Shirt"/>
    <s v="Customer_51"/>
    <n v="38581"/>
    <n v="9069.98"/>
  </r>
  <r>
    <n v="1213"/>
    <x v="77"/>
    <s v="East"/>
    <s v="Furniture"/>
    <s v="Chair"/>
    <s v="Customer_86"/>
    <n v="3018"/>
    <n v="713.19"/>
  </r>
  <r>
    <n v="1428"/>
    <x v="78"/>
    <s v="North"/>
    <s v="Clothing"/>
    <s v="Shoes"/>
    <s v="Customer_29"/>
    <n v="22357"/>
    <n v="1794.04"/>
  </r>
  <r>
    <n v="1123"/>
    <x v="79"/>
    <s v="East"/>
    <s v="Clothing"/>
    <s v="Sweater"/>
    <s v="Customer_82"/>
    <n v="32759"/>
    <n v="7196.89"/>
  </r>
  <r>
    <n v="1166"/>
    <x v="80"/>
    <s v="South"/>
    <s v="Electronics"/>
    <s v="Mobile"/>
    <s v="Customer_56"/>
    <n v="57685"/>
    <n v="8856.2999999999993"/>
  </r>
  <r>
    <n v="1170"/>
    <x v="80"/>
    <s v="North"/>
    <s v="Clothing"/>
    <s v="Jacket"/>
    <s v="Customer_26"/>
    <n v="1523"/>
    <n v="333.71"/>
  </r>
  <r>
    <n v="1361"/>
    <x v="80"/>
    <s v="East"/>
    <s v="Clothing"/>
    <s v="Sweater"/>
    <s v="Customer_58"/>
    <n v="36059"/>
    <n v="4368.74"/>
  </r>
  <r>
    <n v="1110"/>
    <x v="81"/>
    <s v="East"/>
    <s v="Electronics"/>
    <s v="Tablet"/>
    <s v="Customer_37"/>
    <n v="33586"/>
    <n v="2687.04"/>
  </r>
  <r>
    <n v="1149"/>
    <x v="82"/>
    <s v="North"/>
    <s v="Furniture"/>
    <s v="Desk"/>
    <s v="Customer_13"/>
    <n v="49219"/>
    <n v="3160.56"/>
  </r>
  <r>
    <n v="1327"/>
    <x v="82"/>
    <s v="West"/>
    <s v="Electronics"/>
    <s v="Monitor"/>
    <s v="Customer_33"/>
    <n v="29081"/>
    <n v="1882.79"/>
  </r>
  <r>
    <n v="1034"/>
    <x v="83"/>
    <s v="South"/>
    <s v="Electronics"/>
    <s v="Headphones"/>
    <s v="Customer_76"/>
    <n v="49635"/>
    <n v="2504.27"/>
  </r>
  <r>
    <n v="1098"/>
    <x v="83"/>
    <s v="South"/>
    <s v="Furniture"/>
    <s v="Desk"/>
    <s v="Customer_54"/>
    <n v="33102"/>
    <n v="5332.73"/>
  </r>
  <r>
    <n v="1463"/>
    <x v="84"/>
    <s v="South"/>
    <s v="Furniture"/>
    <s v="Desk"/>
    <s v="Customer_90"/>
    <n v="9521"/>
    <n v="1695.04"/>
  </r>
  <r>
    <n v="1085"/>
    <x v="85"/>
    <s v="South"/>
    <s v="Furniture"/>
    <s v="Sofa"/>
    <s v="Customer_26"/>
    <n v="58878"/>
    <n v="10063.26"/>
  </r>
  <r>
    <n v="1407"/>
    <x v="85"/>
    <s v="West"/>
    <s v="Furniture"/>
    <s v="Shelf"/>
    <s v="Customer_26"/>
    <n v="15315"/>
    <n v="3474.67"/>
  </r>
  <r>
    <n v="1383"/>
    <x v="86"/>
    <s v="South"/>
    <s v="Electronics"/>
    <s v="Monitor"/>
    <s v="Customer_67"/>
    <n v="50989"/>
    <n v="4091.18"/>
  </r>
  <r>
    <n v="1139"/>
    <x v="87"/>
    <s v="North"/>
    <s v="Furniture"/>
    <s v="Table"/>
    <s v="Customer_2"/>
    <n v="32819"/>
    <n v="3460.31"/>
  </r>
  <r>
    <n v="1431"/>
    <x v="88"/>
    <s v="West"/>
    <s v="Clothing"/>
    <s v="Jacket"/>
    <s v="Customer_91"/>
    <n v="47508"/>
    <n v="7064.3"/>
  </r>
  <r>
    <n v="1006"/>
    <x v="89"/>
    <s v="East"/>
    <s v="Clothing"/>
    <s v="Jeans"/>
    <s v="Customer_67"/>
    <n v="35385"/>
    <n v="6957.62"/>
  </r>
  <r>
    <n v="1122"/>
    <x v="89"/>
    <s v="West"/>
    <s v="Clothing"/>
    <s v="Jeans"/>
    <s v="Customer_19"/>
    <n v="31408"/>
    <n v="3699.53"/>
  </r>
  <r>
    <n v="1234"/>
    <x v="90"/>
    <s v="West"/>
    <s v="Electronics"/>
    <s v="Mobile"/>
    <s v="Customer_69"/>
    <n v="46352"/>
    <n v="5274.18"/>
  </r>
  <r>
    <n v="1246"/>
    <x v="90"/>
    <s v="West"/>
    <s v="Clothing"/>
    <s v="Jacket"/>
    <s v="Customer_17"/>
    <n v="51134"/>
    <n v="3007.62"/>
  </r>
  <r>
    <n v="1279"/>
    <x v="90"/>
    <s v="North"/>
    <s v="Clothing"/>
    <s v="Jacket"/>
    <s v="Customer_52"/>
    <n v="47798"/>
    <n v="3114.84"/>
  </r>
  <r>
    <n v="1496"/>
    <x v="90"/>
    <s v="South"/>
    <s v="Electronics"/>
    <s v="Laptop"/>
    <s v="Customer_50"/>
    <n v="30365"/>
    <n v="7297.89"/>
  </r>
  <r>
    <n v="1237"/>
    <x v="91"/>
    <s v="West"/>
    <s v="Furniture"/>
    <s v="Shelf"/>
    <s v="Customer_23"/>
    <n v="11483"/>
    <n v="804.21"/>
  </r>
  <r>
    <n v="1385"/>
    <x v="91"/>
    <s v="East"/>
    <s v="Electronics"/>
    <s v="Tablet"/>
    <s v="Customer_63"/>
    <n v="43552"/>
    <n v="3104.12"/>
  </r>
  <r>
    <n v="1017"/>
    <x v="92"/>
    <s v="South"/>
    <s v="Electronics"/>
    <s v="Mobile"/>
    <s v="Customer_85"/>
    <n v="21388"/>
    <n v="4050.92"/>
  </r>
  <r>
    <n v="1127"/>
    <x v="92"/>
    <s v="North"/>
    <s v="Furniture"/>
    <s v="Desk"/>
    <s v="Customer_89"/>
    <n v="55980"/>
    <n v="13952.47"/>
  </r>
  <r>
    <n v="1128"/>
    <x v="92"/>
    <s v="West"/>
    <s v="Furniture"/>
    <s v="Table"/>
    <s v="Customer_16"/>
    <n v="56594"/>
    <n v="10489.59"/>
  </r>
  <r>
    <n v="1206"/>
    <x v="92"/>
    <s v="West"/>
    <s v="Clothing"/>
    <s v="Sweater"/>
    <s v="Customer_65"/>
    <n v="12979"/>
    <n v="2676.41"/>
  </r>
  <r>
    <n v="1441"/>
    <x v="93"/>
    <s v="East"/>
    <s v="Furniture"/>
    <s v="Sofa"/>
    <s v="Customer_40"/>
    <n v="11525"/>
    <n v="644.83000000000004"/>
  </r>
  <r>
    <n v="1037"/>
    <x v="94"/>
    <s v="North"/>
    <s v="Clothing"/>
    <s v="Sweater"/>
    <s v="Customer_90"/>
    <n v="48818"/>
    <n v="8242.2000000000007"/>
  </r>
  <r>
    <n v="1239"/>
    <x v="94"/>
    <s v="East"/>
    <s v="Furniture"/>
    <s v="Sofa"/>
    <s v="Customer_7"/>
    <n v="25776"/>
    <n v="1512.71"/>
  </r>
  <r>
    <n v="1381"/>
    <x v="95"/>
    <s v="East"/>
    <s v="Electronics"/>
    <s v="Mobile"/>
    <s v="Customer_28"/>
    <n v="14304"/>
    <n v="2864.04"/>
  </r>
  <r>
    <n v="1049"/>
    <x v="96"/>
    <s v="South"/>
    <s v="Electronics"/>
    <s v="Mobile"/>
    <s v="Customer_14"/>
    <n v="14000"/>
    <n v="2997.73"/>
  </r>
  <r>
    <n v="1370"/>
    <x v="96"/>
    <s v="West"/>
    <s v="Electronics"/>
    <s v="Mobile"/>
    <s v="Customer_39"/>
    <n v="24838"/>
    <n v="1467.71"/>
  </r>
  <r>
    <n v="1415"/>
    <x v="97"/>
    <s v="South"/>
    <s v="Furniture"/>
    <s v="Shelf"/>
    <s v="Customer_98"/>
    <n v="38338"/>
    <n v="8180.83"/>
  </r>
  <r>
    <n v="1062"/>
    <x v="98"/>
    <s v="South"/>
    <s v="Clothing"/>
    <s v="Jacket"/>
    <s v="Customer_27"/>
    <n v="57320"/>
    <n v="6308.56"/>
  </r>
  <r>
    <n v="1167"/>
    <x v="98"/>
    <s v="South"/>
    <s v="Furniture"/>
    <s v="Chair"/>
    <s v="Customer_34"/>
    <n v="47334"/>
    <n v="9586.49"/>
  </r>
  <r>
    <n v="1490"/>
    <x v="98"/>
    <s v="South"/>
    <s v="Clothing"/>
    <s v="Shirt"/>
    <s v="Customer_19"/>
    <n v="36036"/>
    <n v="2383.79"/>
  </r>
  <r>
    <n v="1048"/>
    <x v="99"/>
    <s v="East"/>
    <s v="Clothing"/>
    <s v="Jeans"/>
    <s v="Customer_61"/>
    <n v="18647"/>
    <n v="4251.83"/>
  </r>
  <r>
    <n v="1243"/>
    <x v="99"/>
    <s v="South"/>
    <s v="Furniture"/>
    <s v="Table"/>
    <s v="Customer_95"/>
    <n v="54533"/>
    <n v="6703.47"/>
  </r>
  <r>
    <n v="1337"/>
    <x v="99"/>
    <s v="South"/>
    <s v="Clothing"/>
    <s v="Jacket"/>
    <s v="Customer_100"/>
    <n v="6782"/>
    <n v="633.36"/>
  </r>
  <r>
    <n v="1486"/>
    <x v="100"/>
    <s v="West"/>
    <s v="Electronics"/>
    <s v="Tablet"/>
    <s v="Customer_44"/>
    <n v="57360"/>
    <n v="9898.35"/>
  </r>
  <r>
    <n v="1077"/>
    <x v="101"/>
    <s v="East"/>
    <s v="Clothing"/>
    <s v="Shirt"/>
    <s v="Customer_89"/>
    <n v="53566"/>
    <n v="3032.26"/>
  </r>
  <r>
    <n v="1230"/>
    <x v="102"/>
    <s v="West"/>
    <s v="Clothing"/>
    <s v="Shoes"/>
    <s v="Customer_56"/>
    <n v="32085"/>
    <n v="3665.57"/>
  </r>
  <r>
    <n v="1016"/>
    <x v="103"/>
    <s v="South"/>
    <s v="Electronics"/>
    <s v="Headphones"/>
    <s v="Customer_19"/>
    <n v="30744"/>
    <n v="5984.3"/>
  </r>
  <r>
    <n v="1144"/>
    <x v="104"/>
    <s v="North"/>
    <s v="Clothing"/>
    <s v="Shirt"/>
    <s v="Customer_70"/>
    <n v="21131"/>
    <n v="4543.04"/>
  </r>
  <r>
    <n v="1198"/>
    <x v="104"/>
    <s v="North"/>
    <s v="Electronics"/>
    <s v="Headphones"/>
    <s v="Customer_62"/>
    <n v="29222"/>
    <n v="2893.25"/>
  </r>
  <r>
    <n v="1236"/>
    <x v="104"/>
    <s v="West"/>
    <s v="Furniture"/>
    <s v="Table"/>
    <s v="Customer_10"/>
    <n v="3101"/>
    <n v="646.01"/>
  </r>
  <r>
    <n v="1296"/>
    <x v="105"/>
    <s v="West"/>
    <s v="Furniture"/>
    <s v="Sofa"/>
    <s v="Customer_6"/>
    <n v="22853"/>
    <n v="3695.9"/>
  </r>
  <r>
    <n v="1050"/>
    <x v="106"/>
    <s v="West"/>
    <s v="Electronics"/>
    <s v="Headphones"/>
    <s v="Customer_69"/>
    <n v="5098"/>
    <n v="346.92"/>
  </r>
  <r>
    <n v="1151"/>
    <x v="107"/>
    <s v="North"/>
    <s v="Electronics"/>
    <s v="Laptop"/>
    <s v="Customer_39"/>
    <n v="48741"/>
    <n v="8211.2999999999993"/>
  </r>
  <r>
    <n v="1106"/>
    <x v="108"/>
    <s v="West"/>
    <s v="Furniture"/>
    <s v="Sofa"/>
    <s v="Customer_58"/>
    <n v="48911"/>
    <n v="11982.27"/>
  </r>
  <r>
    <n v="1345"/>
    <x v="108"/>
    <s v="North"/>
    <s v="Clothing"/>
    <s v="Shoes"/>
    <s v="Customer_13"/>
    <n v="39808"/>
    <n v="4977.4399999999996"/>
  </r>
  <r>
    <n v="1416"/>
    <x v="108"/>
    <s v="East"/>
    <s v="Clothing"/>
    <s v="Shirt"/>
    <s v="Customer_85"/>
    <n v="13917"/>
    <n v="2688.01"/>
  </r>
  <r>
    <n v="1493"/>
    <x v="108"/>
    <s v="North"/>
    <s v="Furniture"/>
    <s v="Sofa"/>
    <s v="Customer_45"/>
    <n v="39948"/>
    <n v="9797.68"/>
  </r>
  <r>
    <n v="1160"/>
    <x v="109"/>
    <s v="East"/>
    <s v="Clothing"/>
    <s v="Shoes"/>
    <s v="Customer_7"/>
    <n v="25320"/>
    <n v="2556.0100000000002"/>
  </r>
  <r>
    <n v="1275"/>
    <x v="109"/>
    <s v="East"/>
    <s v="Furniture"/>
    <s v="Sofa"/>
    <s v="Customer_28"/>
    <n v="55860"/>
    <n v="3031.2"/>
  </r>
  <r>
    <n v="1010"/>
    <x v="110"/>
    <s v="West"/>
    <s v="Electronics"/>
    <s v="Laptop"/>
    <s v="Customer_63"/>
    <n v="49436"/>
    <n v="9040.14"/>
  </r>
  <r>
    <n v="1137"/>
    <x v="110"/>
    <s v="East"/>
    <s v="Furniture"/>
    <s v="Sofa"/>
    <s v="Customer_37"/>
    <n v="24951"/>
    <n v="4133.54"/>
  </r>
  <r>
    <n v="1227"/>
    <x v="110"/>
    <s v="South"/>
    <s v="Furniture"/>
    <s v="Sofa"/>
    <s v="Customer_76"/>
    <n v="7792"/>
    <n v="1619.08"/>
  </r>
  <r>
    <n v="1466"/>
    <x v="110"/>
    <s v="North"/>
    <s v="Clothing"/>
    <s v="Jacket"/>
    <s v="Customer_2"/>
    <n v="34722"/>
    <n v="6411.55"/>
  </r>
  <r>
    <n v="1181"/>
    <x v="111"/>
    <s v="South"/>
    <s v="Clothing"/>
    <s v="Shoes"/>
    <s v="Customer_84"/>
    <n v="11199"/>
    <n v="635.41999999999996"/>
  </r>
  <r>
    <n v="1477"/>
    <x v="112"/>
    <s v="West"/>
    <s v="Electronics"/>
    <s v="Tablet"/>
    <s v="Customer_13"/>
    <n v="24753"/>
    <n v="3165.51"/>
  </r>
  <r>
    <n v="1409"/>
    <x v="113"/>
    <s v="East"/>
    <s v="Electronics"/>
    <s v="Monitor"/>
    <s v="Customer_95"/>
    <n v="5880"/>
    <n v="585.4"/>
  </r>
  <r>
    <n v="1343"/>
    <x v="114"/>
    <s v="South"/>
    <s v="Electronics"/>
    <s v="Mobile"/>
    <s v="Customer_63"/>
    <n v="17896"/>
    <n v="4433.13"/>
  </r>
  <r>
    <n v="1339"/>
    <x v="115"/>
    <s v="South"/>
    <s v="Clothing"/>
    <s v="Sweater"/>
    <s v="Customer_92"/>
    <n v="44098"/>
    <n v="2757.17"/>
  </r>
  <r>
    <n v="1402"/>
    <x v="115"/>
    <s v="East"/>
    <s v="Electronics"/>
    <s v="Laptop"/>
    <s v="Customer_15"/>
    <n v="5997"/>
    <n v="857.6"/>
  </r>
  <r>
    <n v="1235"/>
    <x v="116"/>
    <s v="South"/>
    <s v="Electronics"/>
    <s v="Headphones"/>
    <s v="Customer_92"/>
    <n v="42215"/>
    <n v="4484.32"/>
  </r>
  <r>
    <n v="1267"/>
    <x v="117"/>
    <s v="East"/>
    <s v="Clothing"/>
    <s v="Shirt"/>
    <s v="Customer_75"/>
    <n v="39146"/>
    <n v="3203.78"/>
  </r>
  <r>
    <n v="1436"/>
    <x v="117"/>
    <s v="East"/>
    <s v="Clothing"/>
    <s v="Shirt"/>
    <s v="Customer_79"/>
    <n v="22327"/>
    <n v="4321.54"/>
  </r>
  <r>
    <n v="1081"/>
    <x v="118"/>
    <s v="East"/>
    <s v="Clothing"/>
    <s v="Shirt"/>
    <s v="Customer_60"/>
    <n v="21302"/>
    <n v="2976.26"/>
  </r>
  <r>
    <n v="1349"/>
    <x v="118"/>
    <s v="North"/>
    <s v="Clothing"/>
    <s v="Jacket"/>
    <s v="Customer_77"/>
    <n v="26721"/>
    <n v="6597.63"/>
  </r>
  <r>
    <n v="1354"/>
    <x v="118"/>
    <s v="West"/>
    <s v="Furniture"/>
    <s v="Shelf"/>
    <s v="Customer_61"/>
    <n v="47122"/>
    <n v="7918.64"/>
  </r>
  <r>
    <n v="1059"/>
    <x v="119"/>
    <s v="East"/>
    <s v="Electronics"/>
    <s v="Monitor"/>
    <s v="Customer_41"/>
    <n v="3467"/>
    <n v="308.41000000000003"/>
  </r>
  <r>
    <n v="1271"/>
    <x v="119"/>
    <s v="North"/>
    <s v="Electronics"/>
    <s v="Laptop"/>
    <s v="Customer_63"/>
    <n v="55273"/>
    <n v="6147.11"/>
  </r>
  <r>
    <n v="1328"/>
    <x v="120"/>
    <s v="North"/>
    <s v="Clothing"/>
    <s v="Shoes"/>
    <s v="Customer_17"/>
    <n v="52171"/>
    <n v="10479.89"/>
  </r>
  <r>
    <n v="1012"/>
    <x v="121"/>
    <s v="North"/>
    <s v="Clothing"/>
    <s v="Sweater"/>
    <s v="Customer_82"/>
    <n v="14028"/>
    <n v="1011.12"/>
  </r>
  <r>
    <n v="1042"/>
    <x v="121"/>
    <s v="West"/>
    <s v="Clothing"/>
    <s v="Jeans"/>
    <s v="Customer_2"/>
    <n v="13308"/>
    <n v="1111.2"/>
  </r>
  <r>
    <n v="1439"/>
    <x v="121"/>
    <s v="West"/>
    <s v="Electronics"/>
    <s v="Monitor"/>
    <s v="Customer_55"/>
    <n v="26600"/>
    <n v="2217.92"/>
  </r>
  <r>
    <n v="1440"/>
    <x v="121"/>
    <s v="East"/>
    <s v="Electronics"/>
    <s v="Mobile"/>
    <s v="Customer_45"/>
    <n v="18505"/>
    <n v="3578.78"/>
  </r>
  <r>
    <n v="1499"/>
    <x v="121"/>
    <s v="South"/>
    <s v="Electronics"/>
    <s v="Monitor"/>
    <s v="Customer_99"/>
    <n v="43091"/>
    <n v="9009.73"/>
  </r>
  <r>
    <n v="1092"/>
    <x v="122"/>
    <s v="West"/>
    <s v="Electronics"/>
    <s v="Tablet"/>
    <s v="Customer_99"/>
    <n v="7576"/>
    <n v="1176.6400000000001"/>
  </r>
  <r>
    <n v="1438"/>
    <x v="122"/>
    <s v="West"/>
    <s v="Clothing"/>
    <s v="Sweater"/>
    <s v="Customer_67"/>
    <n v="27038"/>
    <n v="6136.17"/>
  </r>
  <r>
    <n v="1457"/>
    <x v="123"/>
    <s v="East"/>
    <s v="Electronics"/>
    <s v="Headphones"/>
    <s v="Customer_89"/>
    <n v="23009"/>
    <n v="3102.67"/>
  </r>
  <r>
    <n v="1458"/>
    <x v="123"/>
    <s v="East"/>
    <s v="Furniture"/>
    <s v="Sofa"/>
    <s v="Customer_60"/>
    <n v="56487"/>
    <n v="12679.01"/>
  </r>
  <r>
    <n v="1461"/>
    <x v="123"/>
    <s v="West"/>
    <s v="Furniture"/>
    <s v="Chair"/>
    <s v="Customer_60"/>
    <n v="38549"/>
    <n v="7547.66"/>
  </r>
  <r>
    <n v="1038"/>
    <x v="124"/>
    <s v="East"/>
    <s v="Clothing"/>
    <s v="Shoes"/>
    <s v="Customer_53"/>
    <n v="20002"/>
    <n v="1129.75"/>
  </r>
  <r>
    <n v="1292"/>
    <x v="124"/>
    <s v="West"/>
    <s v="Electronics"/>
    <s v="Monitor"/>
    <s v="Customer_50"/>
    <n v="8560"/>
    <n v="920.03"/>
  </r>
  <r>
    <n v="1086"/>
    <x v="125"/>
    <s v="East"/>
    <s v="Furniture"/>
    <s v="Desk"/>
    <s v="Customer_24"/>
    <n v="49846"/>
    <n v="3610.32"/>
  </r>
  <r>
    <n v="1310"/>
    <x v="125"/>
    <s v="North"/>
    <s v="Clothing"/>
    <s v="Shoes"/>
    <s v="Customer_32"/>
    <n v="14111"/>
    <n v="789.34"/>
  </r>
  <r>
    <n v="1152"/>
    <x v="126"/>
    <s v="East"/>
    <s v="Furniture"/>
    <s v="Chair"/>
    <s v="Customer_18"/>
    <n v="47470"/>
    <n v="8690.86"/>
  </r>
  <r>
    <n v="1000"/>
    <x v="127"/>
    <s v="South"/>
    <s v="Clothing"/>
    <s v="Shoes"/>
    <s v="Customer_3"/>
    <n v="23325"/>
    <n v="5162.21"/>
  </r>
  <r>
    <n v="1082"/>
    <x v="127"/>
    <s v="South"/>
    <s v="Clothing"/>
    <s v="Jeans"/>
    <s v="Customer_31"/>
    <n v="44717"/>
    <n v="8899.94"/>
  </r>
  <r>
    <n v="1306"/>
    <x v="127"/>
    <s v="West"/>
    <s v="Clothing"/>
    <s v="Jacket"/>
    <s v="Customer_26"/>
    <n v="37078"/>
    <n v="7483.32"/>
  </r>
  <r>
    <n v="1176"/>
    <x v="128"/>
    <s v="West"/>
    <s v="Furniture"/>
    <s v="Desk"/>
    <s v="Customer_36"/>
    <n v="41650"/>
    <n v="4013.05"/>
  </r>
  <r>
    <n v="1340"/>
    <x v="128"/>
    <s v="East"/>
    <s v="Furniture"/>
    <s v="Sofa"/>
    <s v="Customer_7"/>
    <n v="54668"/>
    <n v="3445.78"/>
  </r>
  <r>
    <n v="1014"/>
    <x v="129"/>
    <s v="West"/>
    <s v="Clothing"/>
    <s v="Shoes"/>
    <s v="Customer_23"/>
    <n v="13669"/>
    <n v="2437.15"/>
  </r>
  <r>
    <n v="1318"/>
    <x v="129"/>
    <s v="South"/>
    <s v="Electronics"/>
    <s v="Monitor"/>
    <s v="Customer_38"/>
    <n v="26313"/>
    <n v="1543.29"/>
  </r>
  <r>
    <n v="1460"/>
    <x v="130"/>
    <s v="South"/>
    <s v="Clothing"/>
    <s v="Jeans"/>
    <s v="Customer_47"/>
    <n v="50191"/>
    <n v="12541.14"/>
  </r>
  <r>
    <n v="1054"/>
    <x v="131"/>
    <s v="South"/>
    <s v="Electronics"/>
    <s v="Mobile"/>
    <s v="Customer_14"/>
    <n v="52012"/>
    <n v="10768.81"/>
  </r>
  <r>
    <n v="1191"/>
    <x v="132"/>
    <s v="North"/>
    <s v="Electronics"/>
    <s v="Headphones"/>
    <s v="Customer_87"/>
    <n v="14666"/>
    <n v="2021.99"/>
  </r>
  <r>
    <n v="1223"/>
    <x v="132"/>
    <s v="North"/>
    <s v="Clothing"/>
    <s v="Sweater"/>
    <s v="Customer_46"/>
    <n v="41996"/>
    <n v="7351.57"/>
  </r>
  <r>
    <n v="1348"/>
    <x v="133"/>
    <s v="North"/>
    <s v="Electronics"/>
    <s v="Mobile"/>
    <s v="Customer_82"/>
    <n v="3621"/>
    <n v="641.78"/>
  </r>
  <r>
    <n v="1483"/>
    <x v="134"/>
    <s v="South"/>
    <s v="Furniture"/>
    <s v="Desk"/>
    <s v="Customer_14"/>
    <n v="25275"/>
    <n v="1631.35"/>
  </r>
  <r>
    <n v="1162"/>
    <x v="135"/>
    <s v="South"/>
    <s v="Furniture"/>
    <s v="Shelf"/>
    <s v="Customer_99"/>
    <n v="26171"/>
    <n v="3922.44"/>
  </r>
  <r>
    <n v="1007"/>
    <x v="136"/>
    <s v="East"/>
    <s v="Clothing"/>
    <s v="Jacket"/>
    <s v="Customer_80"/>
    <n v="22018"/>
    <n v="2027.66"/>
  </r>
  <r>
    <n v="1091"/>
    <x v="137"/>
    <s v="West"/>
    <s v="Furniture"/>
    <s v="Desk"/>
    <s v="Customer_27"/>
    <n v="58497"/>
    <n v="13483.8"/>
  </r>
  <r>
    <n v="1452"/>
    <x v="137"/>
    <s v="East"/>
    <s v="Furniture"/>
    <s v="Sofa"/>
    <s v="Customer_100"/>
    <n v="36884"/>
    <n v="4359.3100000000004"/>
  </r>
  <r>
    <n v="1274"/>
    <x v="138"/>
    <s v="North"/>
    <s v="Clothing"/>
    <s v="Jacket"/>
    <s v="Customer_73"/>
    <n v="28596"/>
    <n v="2061.83"/>
  </r>
  <r>
    <n v="1426"/>
    <x v="139"/>
    <s v="East"/>
    <s v="Electronics"/>
    <s v="Tablet"/>
    <s v="Customer_80"/>
    <n v="43501"/>
    <n v="4100.1499999999996"/>
  </r>
  <r>
    <n v="1115"/>
    <x v="140"/>
    <s v="South"/>
    <s v="Clothing"/>
    <s v="Shoes"/>
    <s v="Customer_76"/>
    <n v="53995"/>
    <n v="4219.8599999999997"/>
  </r>
  <r>
    <n v="1217"/>
    <x v="140"/>
    <s v="West"/>
    <s v="Furniture"/>
    <s v="Sofa"/>
    <s v="Customer_10"/>
    <n v="42673"/>
    <n v="5665.2"/>
  </r>
  <r>
    <n v="1334"/>
    <x v="140"/>
    <s v="South"/>
    <s v="Furniture"/>
    <s v="Table"/>
    <s v="Customer_26"/>
    <n v="7104"/>
    <n v="1034.1199999999999"/>
  </r>
  <r>
    <n v="1200"/>
    <x v="141"/>
    <s v="North"/>
    <s v="Furniture"/>
    <s v="Chair"/>
    <s v="Customer_9"/>
    <n v="57906"/>
    <n v="9412.76"/>
  </r>
  <r>
    <n v="1380"/>
    <x v="141"/>
    <s v="West"/>
    <s v="Furniture"/>
    <s v="Table"/>
    <s v="Customer_68"/>
    <n v="4589"/>
    <n v="808.74"/>
  </r>
  <r>
    <n v="1455"/>
    <x v="141"/>
    <s v="South"/>
    <s v="Furniture"/>
    <s v="Sofa"/>
    <s v="Customer_21"/>
    <n v="57680"/>
    <n v="13248.61"/>
  </r>
  <r>
    <n v="1387"/>
    <x v="142"/>
    <s v="West"/>
    <s v="Furniture"/>
    <s v="Desk"/>
    <s v="Customer_36"/>
    <n v="15157"/>
    <n v="759.11"/>
  </r>
  <r>
    <n v="1447"/>
    <x v="142"/>
    <s v="North"/>
    <s v="Clothing"/>
    <s v="Shirt"/>
    <s v="Customer_76"/>
    <n v="31175"/>
    <n v="7747.37"/>
  </r>
  <r>
    <n v="1446"/>
    <x v="143"/>
    <s v="West"/>
    <s v="Clothing"/>
    <s v="Shoes"/>
    <s v="Customer_51"/>
    <n v="43407"/>
    <n v="8545.92"/>
  </r>
  <r>
    <n v="1107"/>
    <x v="144"/>
    <s v="South"/>
    <s v="Electronics"/>
    <s v="Headphones"/>
    <s v="Customer_59"/>
    <n v="53373"/>
    <n v="12868.12"/>
  </r>
  <r>
    <n v="1126"/>
    <x v="144"/>
    <s v="East"/>
    <s v="Clothing"/>
    <s v="Jacket"/>
    <s v="Customer_71"/>
    <n v="32553"/>
    <n v="3504.56"/>
  </r>
  <r>
    <n v="1336"/>
    <x v="144"/>
    <s v="West"/>
    <s v="Electronics"/>
    <s v="Mobile"/>
    <s v="Customer_44"/>
    <n v="54918"/>
    <n v="9652.2800000000007"/>
  </r>
  <r>
    <n v="1226"/>
    <x v="145"/>
    <s v="East"/>
    <s v="Electronics"/>
    <s v="Monitor"/>
    <s v="Customer_22"/>
    <n v="3277"/>
    <n v="271.48"/>
  </r>
  <r>
    <n v="1286"/>
    <x v="145"/>
    <s v="West"/>
    <s v="Electronics"/>
    <s v="Tablet"/>
    <s v="Customer_57"/>
    <n v="37696"/>
    <n v="8351.61"/>
  </r>
  <r>
    <n v="1040"/>
    <x v="146"/>
    <s v="North"/>
    <s v="Clothing"/>
    <s v="Jeans"/>
    <s v="Customer_50"/>
    <n v="16780"/>
    <n v="2014.01"/>
  </r>
  <r>
    <n v="1158"/>
    <x v="146"/>
    <s v="West"/>
    <s v="Electronics"/>
    <s v="Tablet"/>
    <s v="Customer_63"/>
    <n v="23450"/>
    <n v="3725.18"/>
  </r>
  <r>
    <n v="1256"/>
    <x v="147"/>
    <s v="North"/>
    <s v="Clothing"/>
    <s v="Sweater"/>
    <s v="Customer_21"/>
    <n v="47923"/>
    <n v="5586.64"/>
  </r>
  <r>
    <n v="1389"/>
    <x v="147"/>
    <s v="West"/>
    <s v="Clothing"/>
    <s v="Jeans"/>
    <s v="Customer_92"/>
    <n v="58579"/>
    <n v="4285.68"/>
  </r>
  <r>
    <n v="1073"/>
    <x v="148"/>
    <s v="West"/>
    <s v="Furniture"/>
    <s v="Chair"/>
    <s v="Customer_81"/>
    <n v="612"/>
    <n v="84.05"/>
  </r>
  <r>
    <n v="1473"/>
    <x v="148"/>
    <s v="East"/>
    <s v="Furniture"/>
    <s v="Table"/>
    <s v="Customer_40"/>
    <n v="28696"/>
    <n v="6696.57"/>
  </r>
  <r>
    <n v="1478"/>
    <x v="149"/>
    <s v="South"/>
    <s v="Furniture"/>
    <s v="Sofa"/>
    <s v="Customer_71"/>
    <n v="2558"/>
    <n v="504.89"/>
  </r>
  <r>
    <n v="1061"/>
    <x v="150"/>
    <s v="West"/>
    <s v="Furniture"/>
    <s v="Desk"/>
    <s v="Customer_17"/>
    <n v="58595"/>
    <n v="7982.96"/>
  </r>
  <r>
    <n v="1025"/>
    <x v="151"/>
    <s v="East"/>
    <s v="Electronics"/>
    <s v="Tablet"/>
    <s v="Customer_63"/>
    <n v="3381"/>
    <n v="317.88"/>
  </r>
  <r>
    <n v="1492"/>
    <x v="151"/>
    <s v="North"/>
    <s v="Electronics"/>
    <s v="Mobile"/>
    <s v="Customer_31"/>
    <n v="11955"/>
    <n v="2064.2199999999998"/>
  </r>
  <r>
    <n v="1028"/>
    <x v="152"/>
    <s v="East"/>
    <s v="Electronics"/>
    <s v="Monitor"/>
    <s v="Customer_49"/>
    <n v="23542"/>
    <n v="3347.14"/>
  </r>
  <r>
    <n v="1113"/>
    <x v="152"/>
    <s v="North"/>
    <s v="Clothing"/>
    <s v="Jacket"/>
    <s v="Customer_79"/>
    <n v="4017"/>
    <n v="956.51"/>
  </r>
  <r>
    <n v="1317"/>
    <x v="153"/>
    <s v="South"/>
    <s v="Electronics"/>
    <s v="Tablet"/>
    <s v="Customer_68"/>
    <n v="44964"/>
    <n v="2383.6"/>
  </r>
  <r>
    <n v="1008"/>
    <x v="154"/>
    <s v="West"/>
    <s v="Electronics"/>
    <s v="Headphones"/>
    <s v="Customer_51"/>
    <n v="6031"/>
    <n v="1469.33"/>
  </r>
  <r>
    <n v="1083"/>
    <x v="155"/>
    <s v="East"/>
    <s v="Electronics"/>
    <s v="Mobile"/>
    <s v="Customer_20"/>
    <n v="1778"/>
    <n v="356.76"/>
  </r>
  <r>
    <n v="1316"/>
    <x v="155"/>
    <s v="North"/>
    <s v="Clothing"/>
    <s v="Shoes"/>
    <s v="Customer_32"/>
    <n v="18534"/>
    <n v="3603.13"/>
  </r>
  <r>
    <n v="1412"/>
    <x v="155"/>
    <s v="North"/>
    <s v="Clothing"/>
    <s v="Shoes"/>
    <s v="Customer_57"/>
    <n v="5125"/>
    <n v="499.59"/>
  </r>
  <r>
    <n v="1363"/>
    <x v="156"/>
    <s v="East"/>
    <s v="Electronics"/>
    <s v="Tablet"/>
    <s v="Customer_66"/>
    <n v="34442"/>
    <n v="5745.94"/>
  </r>
  <r>
    <n v="1403"/>
    <x v="156"/>
    <s v="North"/>
    <s v="Electronics"/>
    <s v="Laptop"/>
    <s v="Customer_76"/>
    <n v="54745"/>
    <n v="8008.15"/>
  </r>
  <r>
    <n v="1199"/>
    <x v="157"/>
    <s v="South"/>
    <s v="Furniture"/>
    <s v="Table"/>
    <s v="Customer_17"/>
    <n v="7171"/>
    <n v="580.53"/>
  </r>
  <r>
    <n v="1251"/>
    <x v="157"/>
    <s v="South"/>
    <s v="Electronics"/>
    <s v="Tablet"/>
    <s v="Customer_76"/>
    <n v="6952"/>
    <n v="1307.3399999999999"/>
  </r>
  <r>
    <n v="1468"/>
    <x v="157"/>
    <s v="South"/>
    <s v="Electronics"/>
    <s v="Headphones"/>
    <s v="Customer_41"/>
    <n v="28248"/>
    <n v="5593.69"/>
  </r>
  <r>
    <n v="1108"/>
    <x v="158"/>
    <s v="North"/>
    <s v="Electronics"/>
    <s v="Monitor"/>
    <s v="Customer_75"/>
    <n v="18401"/>
    <n v="3158.58"/>
  </r>
  <r>
    <n v="1305"/>
    <x v="158"/>
    <s v="East"/>
    <s v="Electronics"/>
    <s v="Laptop"/>
    <s v="Customer_97"/>
    <n v="57426"/>
    <n v="7790.71"/>
  </r>
  <r>
    <n v="1485"/>
    <x v="158"/>
    <s v="East"/>
    <s v="Clothing"/>
    <s v="Jacket"/>
    <s v="Customer_24"/>
    <n v="55101"/>
    <n v="4625.2299999999996"/>
  </r>
  <r>
    <n v="1277"/>
    <x v="159"/>
    <s v="East"/>
    <s v="Clothing"/>
    <s v="Jacket"/>
    <s v="Customer_55"/>
    <n v="57904"/>
    <n v="8022.72"/>
  </r>
  <r>
    <n v="1020"/>
    <x v="160"/>
    <s v="West"/>
    <s v="Electronics"/>
    <s v="Laptop"/>
    <s v="Customer_65"/>
    <n v="31021"/>
    <n v="3596.69"/>
  </r>
  <r>
    <n v="1063"/>
    <x v="160"/>
    <s v="West"/>
    <s v="Clothing"/>
    <s v="Shoes"/>
    <s v="Customer_22"/>
    <n v="49459"/>
    <n v="9562.69"/>
  </r>
  <r>
    <n v="1078"/>
    <x v="160"/>
    <s v="West"/>
    <s v="Electronics"/>
    <s v="Mobile"/>
    <s v="Customer_77"/>
    <n v="25379"/>
    <n v="5397.45"/>
  </r>
  <r>
    <n v="1195"/>
    <x v="160"/>
    <s v="North"/>
    <s v="Electronics"/>
    <s v="Headphones"/>
    <s v="Customer_91"/>
    <n v="12763"/>
    <n v="816"/>
  </r>
  <r>
    <n v="1262"/>
    <x v="161"/>
    <s v="East"/>
    <s v="Clothing"/>
    <s v="Jeans"/>
    <s v="Customer_32"/>
    <n v="27340"/>
    <n v="4751.67"/>
  </r>
  <r>
    <n v="1307"/>
    <x v="161"/>
    <s v="South"/>
    <s v="Electronics"/>
    <s v="Monitor"/>
    <s v="Customer_22"/>
    <n v="39978"/>
    <n v="4712.6099999999997"/>
  </r>
  <r>
    <n v="1454"/>
    <x v="162"/>
    <s v="South"/>
    <s v="Clothing"/>
    <s v="Sweater"/>
    <s v="Customer_32"/>
    <n v="2039"/>
    <n v="160.99"/>
  </r>
  <r>
    <n v="1174"/>
    <x v="163"/>
    <s v="West"/>
    <s v="Clothing"/>
    <s v="Jacket"/>
    <s v="Customer_51"/>
    <n v="49525"/>
    <n v="11084.37"/>
  </r>
  <r>
    <n v="1242"/>
    <x v="163"/>
    <s v="East"/>
    <s v="Clothing"/>
    <s v="Jacket"/>
    <s v="Customer_5"/>
    <n v="58477"/>
    <n v="8463.41"/>
  </r>
  <r>
    <n v="1021"/>
    <x v="164"/>
    <s v="South"/>
    <s v="Furniture"/>
    <s v="Shelf"/>
    <s v="Customer_13"/>
    <n v="22922"/>
    <n v="1465.78"/>
  </r>
  <r>
    <n v="1405"/>
    <x v="164"/>
    <s v="South"/>
    <s v="Clothing"/>
    <s v="Sweater"/>
    <s v="Customer_4"/>
    <n v="8051"/>
    <n v="1869.53"/>
  </r>
  <r>
    <n v="1299"/>
    <x v="165"/>
    <s v="West"/>
    <s v="Furniture"/>
    <s v="Sofa"/>
    <s v="Customer_39"/>
    <n v="48609"/>
    <n v="3559.76"/>
  </r>
  <r>
    <n v="1218"/>
    <x v="166"/>
    <s v="South"/>
    <s v="Clothing"/>
    <s v="Jeans"/>
    <s v="Customer_86"/>
    <n v="28891"/>
    <n v="4363.66"/>
  </r>
  <r>
    <n v="1241"/>
    <x v="166"/>
    <s v="East"/>
    <s v="Furniture"/>
    <s v="Shelf"/>
    <s v="Customer_67"/>
    <n v="39991"/>
    <n v="6595.04"/>
  </r>
  <r>
    <n v="1120"/>
    <x v="167"/>
    <s v="South"/>
    <s v="Electronics"/>
    <s v="Tablet"/>
    <s v="Customer_34"/>
    <n v="32497"/>
    <n v="5238.55"/>
  </r>
  <r>
    <n v="1338"/>
    <x v="167"/>
    <s v="West"/>
    <s v="Furniture"/>
    <s v="Table"/>
    <s v="Customer_18"/>
    <n v="31901"/>
    <n v="1935.54"/>
  </r>
  <r>
    <n v="1193"/>
    <x v="168"/>
    <s v="North"/>
    <s v="Furniture"/>
    <s v="Shelf"/>
    <s v="Customer_91"/>
    <n v="50259"/>
    <n v="9893.74"/>
  </r>
  <r>
    <n v="1133"/>
    <x v="169"/>
    <s v="South"/>
    <s v="Furniture"/>
    <s v="Sofa"/>
    <s v="Customer_70"/>
    <n v="48435"/>
    <n v="3385.2"/>
  </r>
  <r>
    <n v="1205"/>
    <x v="169"/>
    <s v="South"/>
    <s v="Clothing"/>
    <s v="Shirt"/>
    <s v="Customer_11"/>
    <n v="26820"/>
    <n v="6375.84"/>
  </r>
  <r>
    <n v="1288"/>
    <x v="169"/>
    <s v="North"/>
    <s v="Clothing"/>
    <s v="Jacket"/>
    <s v="Customer_93"/>
    <n v="56515"/>
    <n v="8142.34"/>
  </r>
  <r>
    <n v="1295"/>
    <x v="169"/>
    <s v="South"/>
    <s v="Furniture"/>
    <s v="Table"/>
    <s v="Customer_18"/>
    <n v="47457"/>
    <n v="9812.7099999999991"/>
  </r>
  <r>
    <n v="1411"/>
    <x v="169"/>
    <s v="West"/>
    <s v="Clothing"/>
    <s v="Shoes"/>
    <s v="Customer_7"/>
    <n v="27923"/>
    <n v="5604.22"/>
  </r>
  <r>
    <n v="1114"/>
    <x v="170"/>
    <s v="North"/>
    <s v="Electronics"/>
    <s v="Tablet"/>
    <s v="Customer_77"/>
    <n v="5886"/>
    <n v="707.21"/>
  </r>
  <r>
    <n v="1479"/>
    <x v="170"/>
    <s v="West"/>
    <s v="Electronics"/>
    <s v="Headphones"/>
    <s v="Customer_70"/>
    <n v="47849"/>
    <n v="6914.19"/>
  </r>
  <r>
    <n v="1065"/>
    <x v="171"/>
    <s v="North"/>
    <s v="Electronics"/>
    <s v="Laptop"/>
    <s v="Customer_82"/>
    <n v="33974"/>
    <n v="1987.37"/>
  </r>
  <r>
    <n v="1090"/>
    <x v="171"/>
    <s v="South"/>
    <s v="Furniture"/>
    <s v="Chair"/>
    <s v="Customer_94"/>
    <n v="48739"/>
    <n v="9698.66"/>
  </r>
  <r>
    <n v="1229"/>
    <x v="172"/>
    <s v="North"/>
    <s v="Electronics"/>
    <s v="Laptop"/>
    <s v="Customer_4"/>
    <n v="3481"/>
    <n v="251.82"/>
  </r>
  <r>
    <n v="1265"/>
    <x v="172"/>
    <s v="East"/>
    <s v="Furniture"/>
    <s v="Chair"/>
    <s v="Customer_57"/>
    <n v="39262"/>
    <n v="9190.83"/>
  </r>
  <r>
    <n v="1076"/>
    <x v="173"/>
    <s v="South"/>
    <s v="Electronics"/>
    <s v="Mobile"/>
    <s v="Customer_9"/>
    <n v="5232"/>
    <n v="1266.6500000000001"/>
  </r>
  <r>
    <n v="1216"/>
    <x v="173"/>
    <s v="South"/>
    <s v="Furniture"/>
    <s v="Desk"/>
    <s v="Customer_78"/>
    <n v="9056"/>
    <n v="1220.56"/>
  </r>
  <r>
    <n v="1425"/>
    <x v="174"/>
    <s v="North"/>
    <s v="Electronics"/>
    <s v="Tablet"/>
    <s v="Customer_15"/>
    <n v="59972"/>
    <n v="13103.91"/>
  </r>
  <r>
    <n v="1360"/>
    <x v="175"/>
    <s v="North"/>
    <s v="Clothing"/>
    <s v="Jeans"/>
    <s v="Customer_58"/>
    <n v="36665"/>
    <n v="6224.63"/>
  </r>
  <r>
    <n v="1469"/>
    <x v="175"/>
    <s v="North"/>
    <s v="Clothing"/>
    <s v="Jacket"/>
    <s v="Customer_87"/>
    <n v="44677"/>
    <n v="4916.1099999999997"/>
  </r>
  <r>
    <n v="1173"/>
    <x v="176"/>
    <s v="West"/>
    <s v="Clothing"/>
    <s v="Shirt"/>
    <s v="Customer_19"/>
    <n v="35909"/>
    <n v="6101.16"/>
  </r>
  <r>
    <n v="1186"/>
    <x v="176"/>
    <s v="West"/>
    <s v="Electronics"/>
    <s v="Headphones"/>
    <s v="Customer_7"/>
    <n v="23264"/>
    <n v="5662.74"/>
  </r>
  <r>
    <n v="1422"/>
    <x v="177"/>
    <s v="South"/>
    <s v="Furniture"/>
    <s v="Table"/>
    <s v="Customer_1"/>
    <n v="24917"/>
    <n v="1657.67"/>
  </r>
  <r>
    <n v="1448"/>
    <x v="177"/>
    <s v="North"/>
    <s v="Clothing"/>
    <s v="Shoes"/>
    <s v="Customer_27"/>
    <n v="41869"/>
    <n v="5412.19"/>
  </r>
  <r>
    <n v="1178"/>
    <x v="178"/>
    <s v="North"/>
    <s v="Electronics"/>
    <s v="Mobile"/>
    <s v="Customer_87"/>
    <n v="23445"/>
    <n v="1550.5"/>
  </r>
  <r>
    <n v="1231"/>
    <x v="179"/>
    <s v="West"/>
    <s v="Clothing"/>
    <s v="Jeans"/>
    <s v="Customer_50"/>
    <n v="39383"/>
    <n v="5532.17"/>
  </r>
  <r>
    <n v="1075"/>
    <x v="180"/>
    <s v="South"/>
    <s v="Clothing"/>
    <s v="Jeans"/>
    <s v="Customer_19"/>
    <n v="2954"/>
    <n v="455.66"/>
  </r>
  <r>
    <n v="1118"/>
    <x v="180"/>
    <s v="North"/>
    <s v="Electronics"/>
    <s v="Headphones"/>
    <s v="Customer_5"/>
    <n v="47223"/>
    <n v="9448.7999999999993"/>
  </r>
  <r>
    <n v="1244"/>
    <x v="180"/>
    <s v="North"/>
    <s v="Electronics"/>
    <s v="Tablet"/>
    <s v="Customer_12"/>
    <n v="1415"/>
    <n v="183.01"/>
  </r>
  <r>
    <n v="1280"/>
    <x v="180"/>
    <s v="North"/>
    <s v="Clothing"/>
    <s v="Jeans"/>
    <s v="Customer_28"/>
    <n v="11306"/>
    <n v="2087.06"/>
  </r>
  <r>
    <n v="1301"/>
    <x v="180"/>
    <s v="West"/>
    <s v="Furniture"/>
    <s v="Chair"/>
    <s v="Customer_75"/>
    <n v="3099"/>
    <n v="420.74"/>
  </r>
  <r>
    <n v="1314"/>
    <x v="181"/>
    <s v="West"/>
    <s v="Furniture"/>
    <s v="Desk"/>
    <s v="Customer_70"/>
    <n v="2445"/>
    <n v="534.64"/>
  </r>
  <r>
    <n v="1268"/>
    <x v="182"/>
    <s v="East"/>
    <s v="Clothing"/>
    <s v="Shoes"/>
    <s v="Customer_39"/>
    <n v="4089"/>
    <n v="868.19"/>
  </r>
  <r>
    <n v="1382"/>
    <x v="183"/>
    <s v="East"/>
    <s v="Clothing"/>
    <s v="Jacket"/>
    <s v="Customer_83"/>
    <n v="36482"/>
    <n v="7865.42"/>
  </r>
  <r>
    <n v="1497"/>
    <x v="183"/>
    <s v="South"/>
    <s v="Electronics"/>
    <s v="Headphones"/>
    <s v="Customer_51"/>
    <n v="16231"/>
    <n v="1933.2"/>
  </r>
  <r>
    <n v="1444"/>
    <x v="184"/>
    <s v="East"/>
    <s v="Furniture"/>
    <s v="Table"/>
    <s v="Customer_68"/>
    <n v="44938"/>
    <n v="7402.6"/>
  </r>
  <r>
    <n v="1013"/>
    <x v="185"/>
    <s v="North"/>
    <s v="Clothing"/>
    <s v="Sweater"/>
    <s v="Customer_21"/>
    <n v="27696"/>
    <n v="5284.17"/>
  </r>
  <r>
    <n v="1323"/>
    <x v="185"/>
    <s v="North"/>
    <s v="Clothing"/>
    <s v="Shirt"/>
    <s v="Customer_96"/>
    <n v="42989"/>
    <n v="6512.86"/>
  </r>
  <r>
    <n v="1350"/>
    <x v="186"/>
    <s v="West"/>
    <s v="Electronics"/>
    <s v="Mobile"/>
    <s v="Customer_89"/>
    <n v="46039"/>
    <n v="9826.18"/>
  </r>
  <r>
    <n v="1494"/>
    <x v="186"/>
    <s v="East"/>
    <s v="Clothing"/>
    <s v="Jeans"/>
    <s v="Customer_14"/>
    <n v="18001"/>
    <n v="3721.56"/>
  </r>
  <r>
    <n v="1225"/>
    <x v="187"/>
    <s v="East"/>
    <s v="Furniture"/>
    <s v="Table"/>
    <s v="Customer_81"/>
    <n v="9232"/>
    <n v="953.62"/>
  </r>
  <r>
    <n v="1247"/>
    <x v="187"/>
    <s v="West"/>
    <s v="Electronics"/>
    <s v="Mobile"/>
    <s v="Customer_53"/>
    <n v="42392"/>
    <n v="5844.99"/>
  </r>
  <r>
    <n v="1060"/>
    <x v="188"/>
    <s v="South"/>
    <s v="Electronics"/>
    <s v="Laptop"/>
    <s v="Customer_5"/>
    <n v="12847"/>
    <n v="2710.2"/>
  </r>
  <r>
    <n v="1450"/>
    <x v="189"/>
    <s v="North"/>
    <s v="Furniture"/>
    <s v="Shelf"/>
    <s v="Customer_44"/>
    <n v="1421"/>
    <n v="143.4"/>
  </r>
  <r>
    <n v="1467"/>
    <x v="189"/>
    <s v="South"/>
    <s v="Furniture"/>
    <s v="Shelf"/>
    <s v="Customer_8"/>
    <n v="8489"/>
    <n v="1583.49"/>
  </r>
  <r>
    <n v="1232"/>
    <x v="190"/>
    <s v="South"/>
    <s v="Furniture"/>
    <s v="Desk"/>
    <s v="Customer_43"/>
    <n v="27918"/>
    <n v="5827.94"/>
  </r>
  <r>
    <n v="1257"/>
    <x v="190"/>
    <s v="North"/>
    <s v="Electronics"/>
    <s v="Laptop"/>
    <s v="Customer_33"/>
    <n v="25572"/>
    <n v="3635.45"/>
  </r>
  <r>
    <n v="1320"/>
    <x v="190"/>
    <s v="South"/>
    <s v="Clothing"/>
    <s v="Jacket"/>
    <s v="Customer_23"/>
    <n v="11369"/>
    <n v="839.97"/>
  </r>
  <r>
    <n v="1121"/>
    <x v="191"/>
    <s v="South"/>
    <s v="Clothing"/>
    <s v="Jacket"/>
    <s v="Customer_88"/>
    <n v="17318"/>
    <n v="2249.59"/>
  </r>
  <r>
    <n v="1424"/>
    <x v="191"/>
    <s v="South"/>
    <s v="Furniture"/>
    <s v="Desk"/>
    <s v="Customer_88"/>
    <n v="25926"/>
    <n v="4489.9399999999996"/>
  </r>
  <r>
    <n v="1031"/>
    <x v="192"/>
    <s v="South"/>
    <s v="Clothing"/>
    <s v="Jeans"/>
    <s v="Customer_40"/>
    <n v="36161"/>
    <n v="4443.2700000000004"/>
  </r>
  <r>
    <n v="1099"/>
    <x v="192"/>
    <s v="West"/>
    <s v="Electronics"/>
    <s v="Mobile"/>
    <s v="Customer_88"/>
    <n v="12818"/>
    <n v="3180.05"/>
  </r>
  <r>
    <n v="1491"/>
    <x v="192"/>
    <s v="South"/>
    <s v="Clothing"/>
    <s v="Shoes"/>
    <s v="Customer_60"/>
    <n v="16510"/>
    <n v="857.4"/>
  </r>
  <r>
    <n v="1289"/>
    <x v="193"/>
    <s v="North"/>
    <s v="Electronics"/>
    <s v="Laptop"/>
    <s v="Customer_5"/>
    <n v="20779"/>
    <n v="3392.62"/>
  </r>
  <r>
    <n v="1459"/>
    <x v="194"/>
    <s v="West"/>
    <s v="Electronics"/>
    <s v="Monitor"/>
    <s v="Customer_22"/>
    <n v="38327"/>
    <n v="7803.86"/>
  </r>
  <r>
    <n v="1203"/>
    <x v="195"/>
    <s v="East"/>
    <s v="Clothing"/>
    <s v="Jacket"/>
    <s v="Customer_87"/>
    <n v="40575"/>
    <n v="2935.78"/>
  </r>
  <r>
    <n v="1269"/>
    <x v="195"/>
    <s v="South"/>
    <s v="Furniture"/>
    <s v="Sofa"/>
    <s v="Customer_86"/>
    <n v="29306"/>
    <n v="6077.29"/>
  </r>
  <r>
    <n v="1179"/>
    <x v="196"/>
    <s v="North"/>
    <s v="Clothing"/>
    <s v="Shoes"/>
    <s v="Customer_68"/>
    <n v="28318"/>
    <n v="1608.88"/>
  </r>
  <r>
    <n v="1371"/>
    <x v="196"/>
    <s v="West"/>
    <s v="Furniture"/>
    <s v="Sofa"/>
    <s v="Customer_58"/>
    <n v="3378"/>
    <n v="480.95"/>
  </r>
  <r>
    <n v="1156"/>
    <x v="197"/>
    <s v="East"/>
    <s v="Furniture"/>
    <s v="Shelf"/>
    <s v="Customer_87"/>
    <n v="44566"/>
    <n v="3668.35"/>
  </r>
  <r>
    <n v="1372"/>
    <x v="198"/>
    <s v="East"/>
    <s v="Furniture"/>
    <s v="Sofa"/>
    <s v="Customer_30"/>
    <n v="23898"/>
    <n v="3032.16"/>
  </r>
  <r>
    <n v="1378"/>
    <x v="198"/>
    <s v="East"/>
    <s v="Clothing"/>
    <s v="Shoes"/>
    <s v="Customer_7"/>
    <n v="15261"/>
    <n v="2101.4499999999998"/>
  </r>
  <r>
    <n v="1112"/>
    <x v="199"/>
    <s v="South"/>
    <s v="Furniture"/>
    <s v="Table"/>
    <s v="Customer_91"/>
    <n v="2229"/>
    <n v="539.45000000000005"/>
  </r>
  <r>
    <n v="1180"/>
    <x v="199"/>
    <s v="South"/>
    <s v="Electronics"/>
    <s v="Mobile"/>
    <s v="Customer_1"/>
    <n v="42390"/>
    <n v="5715.51"/>
  </r>
  <r>
    <n v="1475"/>
    <x v="199"/>
    <s v="East"/>
    <s v="Clothing"/>
    <s v="Jeans"/>
    <s v="Customer_89"/>
    <n v="39009"/>
    <n v="6826.18"/>
  </r>
  <r>
    <n v="1153"/>
    <x v="200"/>
    <s v="West"/>
    <s v="Electronics"/>
    <s v="Headphones"/>
    <s v="Customer_15"/>
    <n v="4122"/>
    <n v="566.07000000000005"/>
  </r>
  <r>
    <n v="1388"/>
    <x v="200"/>
    <s v="North"/>
    <s v="Furniture"/>
    <s v="Shelf"/>
    <s v="Customer_41"/>
    <n v="55986"/>
    <n v="7754.28"/>
  </r>
  <r>
    <n v="1136"/>
    <x v="201"/>
    <s v="South"/>
    <s v="Electronics"/>
    <s v="Mobile"/>
    <s v="Customer_15"/>
    <n v="30175"/>
    <n v="2312.37"/>
  </r>
  <r>
    <n v="1202"/>
    <x v="201"/>
    <s v="West"/>
    <s v="Electronics"/>
    <s v="Mobile"/>
    <s v="Customer_71"/>
    <n v="51497"/>
    <n v="4915.03"/>
  </r>
  <r>
    <n v="1074"/>
    <x v="202"/>
    <s v="North"/>
    <s v="Electronics"/>
    <s v="Headphones"/>
    <s v="Customer_57"/>
    <n v="42115"/>
    <n v="8121.26"/>
  </r>
  <r>
    <n v="1449"/>
    <x v="202"/>
    <s v="South"/>
    <s v="Electronics"/>
    <s v="Tablet"/>
    <s v="Customer_53"/>
    <n v="45408"/>
    <n v="6787.43"/>
  </r>
  <r>
    <n v="1093"/>
    <x v="203"/>
    <s v="East"/>
    <s v="Furniture"/>
    <s v="Shelf"/>
    <s v="Customer_77"/>
    <n v="59829"/>
    <n v="11027.31"/>
  </r>
  <r>
    <n v="1263"/>
    <x v="203"/>
    <s v="South"/>
    <s v="Electronics"/>
    <s v="Laptop"/>
    <s v="Customer_63"/>
    <n v="45919"/>
    <n v="10985.3"/>
  </r>
  <r>
    <n v="1302"/>
    <x v="204"/>
    <s v="South"/>
    <s v="Electronics"/>
    <s v="Tablet"/>
    <s v="Customer_19"/>
    <n v="57093"/>
    <n v="4500.18"/>
  </r>
  <r>
    <n v="1351"/>
    <x v="204"/>
    <s v="South"/>
    <s v="Clothing"/>
    <s v="Jeans"/>
    <s v="Customer_60"/>
    <n v="12031"/>
    <n v="2973.41"/>
  </r>
  <r>
    <n v="1474"/>
    <x v="205"/>
    <s v="West"/>
    <s v="Electronics"/>
    <s v="Laptop"/>
    <s v="Customer_76"/>
    <n v="40668"/>
    <n v="7438.25"/>
  </r>
  <r>
    <n v="1406"/>
    <x v="206"/>
    <s v="West"/>
    <s v="Clothing"/>
    <s v="Jacket"/>
    <s v="Customer_51"/>
    <n v="35897"/>
    <n v="7805.94"/>
  </r>
  <r>
    <n v="1435"/>
    <x v="206"/>
    <s v="East"/>
    <s v="Clothing"/>
    <s v="Shirt"/>
    <s v="Customer_4"/>
    <n v="11173"/>
    <n v="1677.1"/>
  </r>
  <r>
    <n v="1418"/>
    <x v="207"/>
    <s v="West"/>
    <s v="Electronics"/>
    <s v="Headphones"/>
    <s v="Customer_53"/>
    <n v="42002"/>
    <n v="2336.15"/>
  </r>
  <r>
    <n v="1159"/>
    <x v="208"/>
    <s v="North"/>
    <s v="Electronics"/>
    <s v="Laptop"/>
    <s v="Customer_72"/>
    <n v="21037"/>
    <n v="2261.5300000000002"/>
  </r>
  <r>
    <n v="1291"/>
    <x v="209"/>
    <s v="South"/>
    <s v="Furniture"/>
    <s v="Sofa"/>
    <s v="Customer_7"/>
    <n v="39901"/>
    <n v="3897.74"/>
  </r>
  <r>
    <n v="1365"/>
    <x v="210"/>
    <s v="South"/>
    <s v="Furniture"/>
    <s v="Shelf"/>
    <s v="Customer_45"/>
    <n v="21905"/>
    <n v="3238.06"/>
  </r>
  <r>
    <n v="1489"/>
    <x v="210"/>
    <s v="South"/>
    <s v="Clothing"/>
    <s v="Shoes"/>
    <s v="Customer_82"/>
    <n v="38683"/>
    <n v="5053.42"/>
  </r>
  <r>
    <n v="1344"/>
    <x v="211"/>
    <s v="North"/>
    <s v="Furniture"/>
    <s v="Sofa"/>
    <s v="Customer_36"/>
    <n v="35094"/>
    <n v="2186.2800000000002"/>
  </r>
  <r>
    <n v="1362"/>
    <x v="212"/>
    <s v="West"/>
    <s v="Electronics"/>
    <s v="Tablet"/>
    <s v="Customer_80"/>
    <n v="12254"/>
    <n v="2146.35"/>
  </r>
  <r>
    <n v="1400"/>
    <x v="212"/>
    <s v="West"/>
    <s v="Electronics"/>
    <s v="Headphones"/>
    <s v="Customer_31"/>
    <n v="51165"/>
    <n v="5623.49"/>
  </r>
  <r>
    <n v="1451"/>
    <x v="213"/>
    <s v="South"/>
    <s v="Clothing"/>
    <s v="Jacket"/>
    <s v="Customer_41"/>
    <n v="37160"/>
    <n v="6156.2"/>
  </r>
  <r>
    <n v="1068"/>
    <x v="214"/>
    <s v="South"/>
    <s v="Furniture"/>
    <s v="Chair"/>
    <s v="Customer_12"/>
    <n v="51327"/>
    <n v="2749.91"/>
  </r>
  <r>
    <n v="1189"/>
    <x v="214"/>
    <s v="West"/>
    <s v="Electronics"/>
    <s v="Mobile"/>
    <s v="Customer_20"/>
    <n v="39275"/>
    <n v="4048.56"/>
  </r>
  <r>
    <n v="1201"/>
    <x v="214"/>
    <s v="North"/>
    <s v="Clothing"/>
    <s v="Jeans"/>
    <s v="Customer_4"/>
    <n v="52766"/>
    <n v="5759.18"/>
  </r>
  <r>
    <n v="1124"/>
    <x v="215"/>
    <s v="West"/>
    <s v="Furniture"/>
    <s v="Sofa"/>
    <s v="Customer_25"/>
    <n v="11322"/>
    <n v="1508.93"/>
  </r>
  <r>
    <n v="1055"/>
    <x v="216"/>
    <s v="East"/>
    <s v="Electronics"/>
    <s v="Laptop"/>
    <s v="Customer_75"/>
    <n v="957"/>
    <n v="66.58"/>
  </r>
  <r>
    <n v="1066"/>
    <x v="217"/>
    <s v="South"/>
    <s v="Furniture"/>
    <s v="Desk"/>
    <s v="Customer_46"/>
    <n v="33006"/>
    <n v="4985.88"/>
  </r>
  <r>
    <n v="1135"/>
    <x v="217"/>
    <s v="South"/>
    <s v="Clothing"/>
    <s v="Shirt"/>
    <s v="Customer_32"/>
    <n v="26540"/>
    <n v="2126.7600000000002"/>
  </r>
  <r>
    <n v="1297"/>
    <x v="217"/>
    <s v="North"/>
    <s v="Clothing"/>
    <s v="Sweater"/>
    <s v="Customer_79"/>
    <n v="25524"/>
    <n v="4636.7700000000004"/>
  </r>
  <r>
    <n v="1421"/>
    <x v="217"/>
    <s v="East"/>
    <s v="Clothing"/>
    <s v="Sweater"/>
    <s v="Customer_89"/>
    <n v="50784"/>
    <n v="8498.4599999999991"/>
  </r>
  <r>
    <n v="1392"/>
    <x v="218"/>
    <s v="South"/>
    <s v="Clothing"/>
    <s v="Shirt"/>
    <s v="Customer_17"/>
    <n v="2046"/>
    <n v="478.64"/>
  </r>
  <r>
    <n v="1057"/>
    <x v="219"/>
    <s v="West"/>
    <s v="Furniture"/>
    <s v="Desk"/>
    <s v="Customer_98"/>
    <n v="20707"/>
    <n v="1521.02"/>
  </r>
  <r>
    <n v="1026"/>
    <x v="220"/>
    <s v="South"/>
    <s v="Electronics"/>
    <s v="Headphones"/>
    <s v="Customer_45"/>
    <n v="52372"/>
    <n v="11034.48"/>
  </r>
  <r>
    <n v="1029"/>
    <x v="220"/>
    <s v="South"/>
    <s v="Clothing"/>
    <s v="Shoes"/>
    <s v="Customer_2"/>
    <n v="38714"/>
    <n v="7616.65"/>
  </r>
  <r>
    <n v="1352"/>
    <x v="220"/>
    <s v="North"/>
    <s v="Furniture"/>
    <s v="Shelf"/>
    <s v="Customer_43"/>
    <n v="49783"/>
    <n v="5920.55"/>
  </r>
  <r>
    <n v="1393"/>
    <x v="220"/>
    <s v="East"/>
    <s v="Furniture"/>
    <s v="Shelf"/>
    <s v="Customer_45"/>
    <n v="12406"/>
    <n v="1902.16"/>
  </r>
  <r>
    <n v="1002"/>
    <x v="221"/>
    <s v="East"/>
    <s v="Furniture"/>
    <s v="Chair"/>
    <s v="Customer_22"/>
    <n v="26944"/>
    <n v="6162.54"/>
  </r>
  <r>
    <n v="1154"/>
    <x v="221"/>
    <s v="North"/>
    <s v="Furniture"/>
    <s v="Shelf"/>
    <s v="Customer_34"/>
    <n v="15176"/>
    <n v="1600.31"/>
  </r>
  <r>
    <n v="1309"/>
    <x v="221"/>
    <s v="West"/>
    <s v="Furniture"/>
    <s v="Shelf"/>
    <s v="Customer_53"/>
    <n v="55770"/>
    <n v="4475.82"/>
  </r>
  <r>
    <n v="1043"/>
    <x v="222"/>
    <s v="West"/>
    <s v="Furniture"/>
    <s v="Chair"/>
    <s v="Customer_9"/>
    <n v="13817"/>
    <n v="3352.59"/>
  </r>
  <r>
    <n v="1046"/>
    <x v="223"/>
    <s v="North"/>
    <s v="Furniture"/>
    <s v="Sofa"/>
    <s v="Customer_81"/>
    <n v="34827"/>
    <n v="3185.29"/>
  </r>
  <r>
    <n v="1019"/>
    <x v="224"/>
    <s v="West"/>
    <s v="Furniture"/>
    <s v="Table"/>
    <s v="Customer_56"/>
    <n v="3932"/>
    <n v="850.42"/>
  </r>
  <r>
    <n v="1070"/>
    <x v="224"/>
    <s v="South"/>
    <s v="Furniture"/>
    <s v="Shelf"/>
    <s v="Customer_60"/>
    <n v="23621"/>
    <n v="2364.67"/>
  </r>
  <r>
    <n v="1095"/>
    <x v="224"/>
    <s v="West"/>
    <s v="Electronics"/>
    <s v="Monitor"/>
    <s v="Customer_11"/>
    <n v="58210"/>
    <n v="4933.16"/>
  </r>
  <r>
    <n v="1097"/>
    <x v="224"/>
    <s v="North"/>
    <s v="Clothing"/>
    <s v="Jacket"/>
    <s v="Customer_11"/>
    <n v="35469"/>
    <n v="7649.77"/>
  </r>
  <r>
    <n v="1397"/>
    <x v="225"/>
    <s v="South"/>
    <s v="Clothing"/>
    <s v="Shoes"/>
    <s v="Customer_40"/>
    <n v="45221"/>
    <n v="5797.19"/>
  </r>
  <r>
    <n v="1325"/>
    <x v="226"/>
    <s v="West"/>
    <s v="Furniture"/>
    <s v="Sofa"/>
    <s v="Customer_79"/>
    <n v="16213"/>
    <n v="3528.07"/>
  </r>
  <r>
    <n v="1260"/>
    <x v="227"/>
    <s v="East"/>
    <s v="Clothing"/>
    <s v="Shirt"/>
    <s v="Customer_34"/>
    <n v="11385"/>
    <n v="1992.67"/>
  </r>
  <r>
    <n v="1417"/>
    <x v="227"/>
    <s v="South"/>
    <s v="Electronics"/>
    <s v="Monitor"/>
    <s v="Customer_33"/>
    <n v="34567"/>
    <n v="4285.84"/>
  </r>
  <r>
    <n v="1004"/>
    <x v="228"/>
    <s v="West"/>
    <s v="Electronics"/>
    <s v="Tablet"/>
    <s v="Customer_49"/>
    <n v="33227"/>
    <n v="2894.78"/>
  </r>
  <r>
    <n v="1094"/>
    <x v="228"/>
    <s v="West"/>
    <s v="Clothing"/>
    <s v="Shirt"/>
    <s v="Customer_4"/>
    <n v="27073"/>
    <n v="1360.86"/>
  </r>
  <r>
    <n v="1294"/>
    <x v="229"/>
    <s v="West"/>
    <s v="Clothing"/>
    <s v="Jeans"/>
    <s v="Customer_90"/>
    <n v="45887"/>
    <n v="9402.92"/>
  </r>
  <r>
    <n v="1270"/>
    <x v="230"/>
    <s v="West"/>
    <s v="Furniture"/>
    <s v="Shelf"/>
    <s v="Customer_96"/>
    <n v="50391"/>
    <n v="8072.33"/>
  </r>
  <r>
    <n v="1281"/>
    <x v="231"/>
    <s v="East"/>
    <s v="Electronics"/>
    <s v="Headphones"/>
    <s v="Customer_30"/>
    <n v="48627"/>
    <n v="7500.49"/>
  </r>
  <r>
    <n v="1284"/>
    <x v="231"/>
    <s v="South"/>
    <s v="Electronics"/>
    <s v="Monitor"/>
    <s v="Customer_96"/>
    <n v="57361"/>
    <n v="4349.84"/>
  </r>
  <r>
    <n v="1308"/>
    <x v="231"/>
    <s v="West"/>
    <s v="Electronics"/>
    <s v="Headphones"/>
    <s v="Customer_55"/>
    <n v="18563"/>
    <n v="3789.56"/>
  </r>
  <r>
    <n v="1001"/>
    <x v="232"/>
    <s v="East"/>
    <s v="Electronics"/>
    <s v="Monitor"/>
    <s v="Customer_2"/>
    <n v="37397"/>
    <n v="2692.45"/>
  </r>
  <r>
    <n v="1324"/>
    <x v="232"/>
    <s v="East"/>
    <s v="Clothing"/>
    <s v="Shirt"/>
    <s v="Customer_58"/>
    <n v="45460"/>
    <n v="10063.280000000001"/>
  </r>
  <r>
    <n v="1215"/>
    <x v="233"/>
    <s v="West"/>
    <s v="Electronics"/>
    <s v="Monitor"/>
    <s v="Customer_46"/>
    <n v="46486"/>
    <n v="4085.2"/>
  </r>
  <r>
    <n v="1427"/>
    <x v="234"/>
    <s v="North"/>
    <s v="Clothing"/>
    <s v="Jeans"/>
    <s v="Customer_78"/>
    <n v="46178"/>
    <n v="10369.459999999999"/>
  </r>
  <r>
    <n v="1011"/>
    <x v="235"/>
    <s v="East"/>
    <s v="Electronics"/>
    <s v="Headphones"/>
    <s v="Customer_46"/>
    <n v="22381"/>
    <n v="2858.73"/>
  </r>
  <r>
    <n v="1089"/>
    <x v="235"/>
    <s v="West"/>
    <s v="Electronics"/>
    <s v="Monitor"/>
    <s v="Customer_5"/>
    <n v="50206"/>
    <n v="11104.04"/>
  </r>
  <r>
    <n v="1480"/>
    <x v="236"/>
    <s v="West"/>
    <s v="Electronics"/>
    <s v="Tablet"/>
    <s v="Customer_20"/>
    <n v="39798"/>
    <n v="4566.08"/>
  </r>
  <r>
    <n v="1410"/>
    <x v="237"/>
    <s v="East"/>
    <s v="Clothing"/>
    <s v="Shirt"/>
    <s v="Customer_36"/>
    <n v="21964"/>
    <n v="4463.3900000000003"/>
  </r>
  <r>
    <n v="1414"/>
    <x v="238"/>
    <s v="North"/>
    <s v="Electronics"/>
    <s v="Tablet"/>
    <s v="Customer_66"/>
    <n v="46662"/>
    <n v="3582.4"/>
  </r>
  <r>
    <n v="1464"/>
    <x v="238"/>
    <s v="North"/>
    <s v="Electronics"/>
    <s v="Mobile"/>
    <s v="Customer_5"/>
    <n v="13825"/>
    <n v="1054.19"/>
  </r>
  <r>
    <n v="1495"/>
    <x v="239"/>
    <s v="West"/>
    <s v="Clothing"/>
    <s v="Jacket"/>
    <s v="Customer_50"/>
    <n v="5269"/>
    <n v="425.82"/>
  </r>
  <r>
    <n v="1248"/>
    <x v="240"/>
    <s v="West"/>
    <s v="Furniture"/>
    <s v="Sofa"/>
    <s v="Customer_54"/>
    <n v="47791"/>
    <n v="7222.96"/>
  </r>
  <r>
    <n v="1101"/>
    <x v="241"/>
    <s v="North"/>
    <s v="Clothing"/>
    <s v="Shoes"/>
    <s v="Customer_22"/>
    <n v="6131"/>
    <n v="829.5"/>
  </r>
  <r>
    <n v="1413"/>
    <x v="241"/>
    <s v="North"/>
    <s v="Furniture"/>
    <s v="Sofa"/>
    <s v="Customer_4"/>
    <n v="39811"/>
    <n v="8612.82"/>
  </r>
  <r>
    <n v="1398"/>
    <x v="242"/>
    <s v="North"/>
    <s v="Clothing"/>
    <s v="Jeans"/>
    <s v="Customer_90"/>
    <n v="5246"/>
    <n v="946.63"/>
  </r>
  <r>
    <n v="1293"/>
    <x v="243"/>
    <s v="South"/>
    <s v="Clothing"/>
    <s v="Jeans"/>
    <s v="Customer_37"/>
    <n v="18144"/>
    <n v="3928.02"/>
  </r>
  <r>
    <n v="1342"/>
    <x v="244"/>
    <s v="North"/>
    <s v="Furniture"/>
    <s v="Chair"/>
    <s v="Customer_49"/>
    <n v="47614"/>
    <n v="5193.04"/>
  </r>
  <r>
    <n v="1465"/>
    <x v="245"/>
    <s v="West"/>
    <s v="Furniture"/>
    <s v="Chair"/>
    <s v="Customer_89"/>
    <n v="43558"/>
    <n v="7188.82"/>
  </r>
  <r>
    <n v="1157"/>
    <x v="246"/>
    <s v="West"/>
    <s v="Clothing"/>
    <s v="Shirt"/>
    <s v="Customer_74"/>
    <n v="20953"/>
    <n v="1484.14"/>
  </r>
  <r>
    <n v="1287"/>
    <x v="246"/>
    <s v="North"/>
    <s v="Furniture"/>
    <s v="Sofa"/>
    <s v="Customer_4"/>
    <n v="56807"/>
    <n v="7619.14"/>
  </r>
  <r>
    <n v="1104"/>
    <x v="247"/>
    <s v="North"/>
    <s v="Clothing"/>
    <s v="Sweater"/>
    <s v="Customer_5"/>
    <n v="7863"/>
    <n v="622.35"/>
  </r>
  <r>
    <n v="1259"/>
    <x v="247"/>
    <s v="West"/>
    <s v="Furniture"/>
    <s v="Shelf"/>
    <s v="Customer_25"/>
    <n v="44913"/>
    <n v="5318.86"/>
  </r>
  <r>
    <n v="1481"/>
    <x v="247"/>
    <s v="North"/>
    <s v="Furniture"/>
    <s v="Sofa"/>
    <s v="Customer_64"/>
    <n v="32814"/>
    <n v="1891.51"/>
  </r>
  <r>
    <n v="1252"/>
    <x v="248"/>
    <s v="West"/>
    <s v="Electronics"/>
    <s v="Tablet"/>
    <s v="Customer_33"/>
    <n v="27621"/>
    <n v="5966.76"/>
  </r>
  <r>
    <n v="1219"/>
    <x v="249"/>
    <s v="North"/>
    <s v="Electronics"/>
    <s v="Headphones"/>
    <s v="Customer_15"/>
    <n v="27796"/>
    <n v="6283.46"/>
  </r>
  <r>
    <n v="1233"/>
    <x v="249"/>
    <s v="East"/>
    <s v="Electronics"/>
    <s v="Tablet"/>
    <s v="Customer_51"/>
    <n v="27078"/>
    <n v="2464.63"/>
  </r>
  <r>
    <n v="1064"/>
    <x v="250"/>
    <s v="East"/>
    <s v="Furniture"/>
    <s v="Table"/>
    <s v="Customer_58"/>
    <n v="4257"/>
    <n v="612.99"/>
  </r>
  <r>
    <n v="1142"/>
    <x v="250"/>
    <s v="North"/>
    <s v="Clothing"/>
    <s v="Jeans"/>
    <s v="Customer_36"/>
    <n v="12788"/>
    <n v="752.96"/>
  </r>
  <r>
    <n v="1183"/>
    <x v="250"/>
    <s v="South"/>
    <s v="Electronics"/>
    <s v="Mobile"/>
    <s v="Customer_80"/>
    <n v="17720"/>
    <n v="3190.28"/>
  </r>
  <r>
    <n v="1079"/>
    <x v="251"/>
    <s v="North"/>
    <s v="Electronics"/>
    <s v="Tablet"/>
    <s v="Customer_72"/>
    <n v="953"/>
    <n v="106.45"/>
  </r>
  <r>
    <n v="1024"/>
    <x v="252"/>
    <s v="South"/>
    <s v="Electronics"/>
    <s v="Tablet"/>
    <s v="Customer_10"/>
    <n v="25137"/>
    <n v="1538.16"/>
  </r>
  <r>
    <n v="1240"/>
    <x v="252"/>
    <s v="North"/>
    <s v="Furniture"/>
    <s v="Shelf"/>
    <s v="Customer_65"/>
    <n v="51476"/>
    <n v="12078.2"/>
  </r>
  <r>
    <n v="1433"/>
    <x v="253"/>
    <s v="North"/>
    <s v="Clothing"/>
    <s v="Jacket"/>
    <s v="Customer_4"/>
    <n v="19765"/>
    <n v="3991.11"/>
  </r>
  <r>
    <n v="1312"/>
    <x v="254"/>
    <s v="South"/>
    <s v="Furniture"/>
    <s v="Chair"/>
    <s v="Customer_99"/>
    <n v="14777"/>
    <n v="1457.9"/>
  </r>
  <r>
    <n v="1432"/>
    <x v="254"/>
    <s v="East"/>
    <s v="Electronics"/>
    <s v="Mobile"/>
    <s v="Customer_90"/>
    <n v="41686"/>
    <n v="4018.02"/>
  </r>
  <r>
    <n v="1116"/>
    <x v="255"/>
    <s v="West"/>
    <s v="Electronics"/>
    <s v="Laptop"/>
    <s v="Customer_82"/>
    <n v="42186"/>
    <n v="9840.9"/>
  </r>
  <r>
    <n v="1109"/>
    <x v="256"/>
    <s v="West"/>
    <s v="Clothing"/>
    <s v="Shirt"/>
    <s v="Customer_33"/>
    <n v="42205"/>
    <n v="4856.3999999999996"/>
  </r>
  <r>
    <n v="1346"/>
    <x v="256"/>
    <s v="South"/>
    <s v="Furniture"/>
    <s v="Shelf"/>
    <s v="Customer_66"/>
    <n v="52682"/>
    <n v="8714.26"/>
  </r>
  <r>
    <n v="1366"/>
    <x v="257"/>
    <s v="East"/>
    <s v="Furniture"/>
    <s v="Table"/>
    <s v="Customer_94"/>
    <n v="51149"/>
    <n v="12759.98"/>
  </r>
  <r>
    <n v="1442"/>
    <x v="257"/>
    <s v="East"/>
    <s v="Furniture"/>
    <s v="Sofa"/>
    <s v="Customer_23"/>
    <n v="25011"/>
    <n v="4338.49"/>
  </r>
  <r>
    <n v="1172"/>
    <x v="258"/>
    <s v="South"/>
    <s v="Clothing"/>
    <s v="Sweater"/>
    <s v="Customer_72"/>
    <n v="4862"/>
    <n v="1086.0999999999999"/>
  </r>
  <r>
    <n v="1471"/>
    <x v="258"/>
    <s v="West"/>
    <s v="Electronics"/>
    <s v="Laptop"/>
    <s v="Customer_24"/>
    <n v="14852"/>
    <n v="1715.8"/>
  </r>
  <r>
    <n v="1140"/>
    <x v="259"/>
    <s v="West"/>
    <s v="Electronics"/>
    <s v="Mobile"/>
    <s v="Customer_46"/>
    <n v="17926"/>
    <n v="1655.02"/>
  </r>
  <r>
    <n v="1032"/>
    <x v="260"/>
    <s v="West"/>
    <s v="Furniture"/>
    <s v="Chair"/>
    <s v="Customer_57"/>
    <n v="35232"/>
    <n v="6427.04"/>
  </r>
  <r>
    <n v="1161"/>
    <x v="260"/>
    <s v="South"/>
    <s v="Electronics"/>
    <s v="Tablet"/>
    <s v="Customer_77"/>
    <n v="42358"/>
    <n v="4176.93"/>
  </r>
  <r>
    <n v="1204"/>
    <x v="260"/>
    <s v="West"/>
    <s v="Electronics"/>
    <s v="Laptop"/>
    <s v="Customer_20"/>
    <n v="52242"/>
    <n v="10174.870000000001"/>
  </r>
  <r>
    <n v="1359"/>
    <x v="261"/>
    <s v="North"/>
    <s v="Furniture"/>
    <s v="Shelf"/>
    <s v="Customer_78"/>
    <n v="3019"/>
    <n v="188.33"/>
  </r>
  <r>
    <n v="1146"/>
    <x v="262"/>
    <s v="East"/>
    <s v="Clothing"/>
    <s v="Shoes"/>
    <s v="Customer_26"/>
    <n v="36836"/>
    <n v="4519.9399999999996"/>
  </r>
  <r>
    <n v="1190"/>
    <x v="263"/>
    <s v="East"/>
    <s v="Clothing"/>
    <s v="Jacket"/>
    <s v="Customer_63"/>
    <n v="40972"/>
    <n v="5894.48"/>
  </r>
  <r>
    <n v="1192"/>
    <x v="264"/>
    <s v="North"/>
    <s v="Electronics"/>
    <s v="Tablet"/>
    <s v="Customer_9"/>
    <n v="20901"/>
    <n v="1586.37"/>
  </r>
  <r>
    <n v="1283"/>
    <x v="264"/>
    <s v="West"/>
    <s v="Electronics"/>
    <s v="Laptop"/>
    <s v="Customer_65"/>
    <n v="23293"/>
    <n v="5167.5200000000004"/>
  </r>
  <r>
    <n v="1134"/>
    <x v="265"/>
    <s v="West"/>
    <s v="Furniture"/>
    <s v="Chair"/>
    <s v="Customer_40"/>
    <n v="33558"/>
    <n v="6902.37"/>
  </r>
  <r>
    <n v="1210"/>
    <x v="265"/>
    <s v="East"/>
    <s v="Furniture"/>
    <s v="Table"/>
    <s v="Customer_81"/>
    <n v="10798"/>
    <n v="1958.94"/>
  </r>
  <r>
    <n v="1250"/>
    <x v="265"/>
    <s v="North"/>
    <s v="Clothing"/>
    <s v="Sweater"/>
    <s v="Customer_2"/>
    <n v="15098"/>
    <n v="1559.81"/>
  </r>
  <r>
    <n v="1177"/>
    <x v="266"/>
    <s v="South"/>
    <s v="Furniture"/>
    <s v="Sofa"/>
    <s v="Customer_68"/>
    <n v="40257"/>
    <n v="5664.03"/>
  </r>
  <r>
    <n v="1141"/>
    <x v="267"/>
    <s v="East"/>
    <s v="Furniture"/>
    <s v="Shelf"/>
    <s v="Customer_56"/>
    <n v="39334"/>
    <n v="8784.01"/>
  </r>
  <r>
    <n v="1182"/>
    <x v="267"/>
    <s v="North"/>
    <s v="Furniture"/>
    <s v="Chair"/>
    <s v="Customer_10"/>
    <n v="24657"/>
    <n v="5904.37"/>
  </r>
  <r>
    <n v="1276"/>
    <x v="267"/>
    <s v="North"/>
    <s v="Electronics"/>
    <s v="Mobile"/>
    <s v="Customer_91"/>
    <n v="48648"/>
    <n v="11957.31"/>
  </r>
  <r>
    <n v="1311"/>
    <x v="267"/>
    <s v="South"/>
    <s v="Clothing"/>
    <s v="Jeans"/>
    <s v="Customer_3"/>
    <n v="49021"/>
    <n v="9107.08"/>
  </r>
  <r>
    <n v="1298"/>
    <x v="268"/>
    <s v="South"/>
    <s v="Clothing"/>
    <s v="Jeans"/>
    <s v="Customer_94"/>
    <n v="29265"/>
    <n v="3804.9"/>
  </r>
  <r>
    <n v="1353"/>
    <x v="269"/>
    <s v="West"/>
    <s v="Furniture"/>
    <s v="Sofa"/>
    <s v="Customer_20"/>
    <n v="30696"/>
    <n v="3927.54"/>
  </r>
  <r>
    <n v="1476"/>
    <x v="270"/>
    <s v="West"/>
    <s v="Furniture"/>
    <s v="Sofa"/>
    <s v="Customer_73"/>
    <n v="19370"/>
    <n v="1454.47"/>
  </r>
  <r>
    <n v="1313"/>
    <x v="271"/>
    <s v="North"/>
    <s v="Furniture"/>
    <s v="Table"/>
    <s v="Customer_53"/>
    <n v="34197"/>
    <n v="5022.83"/>
  </r>
  <r>
    <n v="1408"/>
    <x v="271"/>
    <s v="East"/>
    <s v="Furniture"/>
    <s v="Sofa"/>
    <s v="Customer_60"/>
    <n v="28239"/>
    <n v="1797.57"/>
  </r>
  <r>
    <n v="1069"/>
    <x v="272"/>
    <s v="East"/>
    <s v="Furniture"/>
    <s v="Chair"/>
    <s v="Customer_10"/>
    <n v="6371"/>
    <n v="1316.07"/>
  </r>
  <r>
    <n v="1211"/>
    <x v="273"/>
    <s v="West"/>
    <s v="Clothing"/>
    <s v="Sweater"/>
    <s v="Customer_24"/>
    <n v="24776"/>
    <n v="3462.86"/>
  </r>
  <r>
    <n v="1423"/>
    <x v="273"/>
    <s v="South"/>
    <s v="Furniture"/>
    <s v="Table"/>
    <s v="Customer_69"/>
    <n v="44454"/>
    <n v="6348.02"/>
  </r>
  <r>
    <n v="1188"/>
    <x v="274"/>
    <s v="East"/>
    <s v="Electronics"/>
    <s v="Headphones"/>
    <s v="Customer_77"/>
    <n v="12770"/>
    <n v="2236.9"/>
  </r>
  <r>
    <n v="1212"/>
    <x v="274"/>
    <s v="East"/>
    <s v="Electronics"/>
    <s v="Headphones"/>
    <s v="Customer_80"/>
    <n v="27834"/>
    <n v="1742.1"/>
  </r>
  <r>
    <n v="1434"/>
    <x v="274"/>
    <s v="West"/>
    <s v="Clothing"/>
    <s v="Shirt"/>
    <s v="Customer_80"/>
    <n v="59661"/>
    <n v="13769.88"/>
  </r>
  <r>
    <m/>
    <x v="275"/>
    <m/>
    <m/>
    <m/>
    <m/>
    <m/>
    <m/>
  </r>
  <r>
    <m/>
    <x v="275"/>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FC0373-8F1B-4312-A3DF-1276227F921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B8" firstHeaderRow="1" firstDataRow="1" firstDataCol="1"/>
  <pivotFields count="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3"/>
        <item x="0"/>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6" baseField="0" baseItem="0"/>
  </dataFields>
  <chartFormats count="10">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2" count="1" selected="0">
            <x v="0"/>
          </reference>
        </references>
      </pivotArea>
    </chartFormat>
    <chartFormat chart="14" format="8">
      <pivotArea type="data" outline="0" fieldPosition="0">
        <references count="2">
          <reference field="4294967294" count="1" selected="0">
            <x v="0"/>
          </reference>
          <reference field="2" count="1" selected="0">
            <x v="1"/>
          </reference>
        </references>
      </pivotArea>
    </chartFormat>
    <chartFormat chart="14" format="9">
      <pivotArea type="data" outline="0" fieldPosition="0">
        <references count="2">
          <reference field="4294967294" count="1" selected="0">
            <x v="0"/>
          </reference>
          <reference field="2" count="1" selected="0">
            <x v="2"/>
          </reference>
        </references>
      </pivotArea>
    </chartFormat>
    <chartFormat chart="14" format="10">
      <pivotArea type="data" outline="0" fieldPosition="0">
        <references count="2">
          <reference field="4294967294" count="1" selected="0">
            <x v="0"/>
          </reference>
          <reference field="2" count="1" selected="0">
            <x v="3"/>
          </reference>
        </references>
      </pivotArea>
    </chartFormat>
    <chartFormat chart="11" format="1">
      <pivotArea type="data" outline="0" fieldPosition="0">
        <references count="2">
          <reference field="4294967294" count="1" selected="0">
            <x v="0"/>
          </reference>
          <reference field="2" count="1" selected="0">
            <x v="0"/>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1" format="3">
      <pivotArea type="data" outline="0" fieldPosition="0">
        <references count="2">
          <reference field="4294967294" count="1" selected="0">
            <x v="0"/>
          </reference>
          <reference field="2" count="1" selected="0">
            <x v="2"/>
          </reference>
        </references>
      </pivotArea>
    </chartFormat>
    <chartFormat chart="11"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69D6E1-C32A-4D0B-8CE8-59C95F063FE5}" name="PivotTable4"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3:B15" firstHeaderRow="1" firstDataRow="1" firstDataCol="1"/>
  <pivotFields count="8">
    <pivotField showAll="0"/>
    <pivotField axis="axisRow" showAll="0">
      <items count="15">
        <item h="1"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s>
  <rowFields count="1">
    <field x="1"/>
  </rowFields>
  <rowItems count="12">
    <i>
      <x v="1"/>
    </i>
    <i>
      <x v="2"/>
    </i>
    <i>
      <x v="3"/>
    </i>
    <i>
      <x v="4"/>
    </i>
    <i>
      <x v="5"/>
    </i>
    <i>
      <x v="6"/>
    </i>
    <i>
      <x v="7"/>
    </i>
    <i>
      <x v="8"/>
    </i>
    <i>
      <x v="9"/>
    </i>
    <i>
      <x v="10"/>
    </i>
    <i>
      <x v="11"/>
    </i>
    <i>
      <x v="12"/>
    </i>
  </rowItems>
  <colItems count="1">
    <i/>
  </colItems>
  <dataFields count="1">
    <dataField name="Sum of Sales" fld="6"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B2D366-9EF8-4661-B04B-9BD64D178AC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F8" firstHeaderRow="1" firstDataRow="2" firstDataCol="1"/>
  <pivotFields count="9">
    <pivotField showAll="0"/>
    <pivotField numFmtId="14" showAll="0"/>
    <pivotField axis="axisCol" showAll="0">
      <items count="5">
        <item x="1"/>
        <item x="3"/>
        <item x="0"/>
        <item x="2"/>
        <item t="default"/>
      </items>
    </pivotField>
    <pivotField axis="axisRow" showAll="0">
      <items count="4">
        <item x="0"/>
        <item x="1"/>
        <item x="2"/>
        <item t="default"/>
      </items>
    </pivotField>
    <pivotField showAll="0"/>
    <pivotField showAll="0"/>
    <pivotField showAll="0"/>
    <pivotField dataField="1" showAll="0"/>
    <pivotField showAll="0" defaultSubtotal="0"/>
  </pivotFields>
  <rowFields count="1">
    <field x="3"/>
  </rowFields>
  <rowItems count="4">
    <i>
      <x/>
    </i>
    <i>
      <x v="1"/>
    </i>
    <i>
      <x v="2"/>
    </i>
    <i t="grand">
      <x/>
    </i>
  </rowItems>
  <colFields count="1">
    <field x="2"/>
  </colFields>
  <colItems count="5">
    <i>
      <x/>
    </i>
    <i>
      <x v="1"/>
    </i>
    <i>
      <x v="2"/>
    </i>
    <i>
      <x v="3"/>
    </i>
    <i t="grand">
      <x/>
    </i>
  </colItems>
  <dataFields count="1">
    <dataField name="Sum of Profit" fld="7" baseField="0" baseItem="0"/>
  </dataFields>
  <chartFormats count="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05567C-3D06-4EB0-9016-AD7C6925C876}"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18" firstHeaderRow="1" firstDataRow="1" firstDataCol="1"/>
  <pivotFields count="9">
    <pivotField showAll="0"/>
    <pivotField numFmtId="14" showAll="0"/>
    <pivotField showAll="0"/>
    <pivotField showAll="0"/>
    <pivotField axis="axisRow" showAll="0">
      <items count="16">
        <item x="2"/>
        <item x="14"/>
        <item x="7"/>
        <item x="6"/>
        <item x="5"/>
        <item x="8"/>
        <item x="10"/>
        <item x="1"/>
        <item x="12"/>
        <item x="3"/>
        <item x="0"/>
        <item x="13"/>
        <item x="9"/>
        <item x="11"/>
        <item x="4"/>
        <item t="default"/>
      </items>
    </pivotField>
    <pivotField showAll="0"/>
    <pivotField showAll="0"/>
    <pivotField dataField="1" showAll="0"/>
    <pivotField showAll="0" defaultSubtotal="0"/>
  </pivotFields>
  <rowFields count="1">
    <field x="4"/>
  </rowFields>
  <rowItems count="15">
    <i>
      <x/>
    </i>
    <i>
      <x v="1"/>
    </i>
    <i>
      <x v="2"/>
    </i>
    <i>
      <x v="3"/>
    </i>
    <i>
      <x v="4"/>
    </i>
    <i>
      <x v="5"/>
    </i>
    <i>
      <x v="6"/>
    </i>
    <i>
      <x v="7"/>
    </i>
    <i>
      <x v="8"/>
    </i>
    <i>
      <x v="9"/>
    </i>
    <i>
      <x v="10"/>
    </i>
    <i>
      <x v="11"/>
    </i>
    <i>
      <x v="12"/>
    </i>
    <i>
      <x v="13"/>
    </i>
    <i>
      <x v="14"/>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5B9988-6C4F-4EB4-82EC-6B9790CED486}"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4" firstHeaderRow="1" firstDataRow="1" firstDataCol="1"/>
  <pivotFields count="9">
    <pivotField showAll="0"/>
    <pivotField numFmtId="14" showAll="0"/>
    <pivotField showAll="0"/>
    <pivotField showAll="0"/>
    <pivotField showAll="0"/>
    <pivotField axis="axisRow" showAll="0" measureFilter="1">
      <items count="100">
        <item x="82"/>
        <item x="21"/>
        <item x="96"/>
        <item x="52"/>
        <item x="51"/>
        <item x="20"/>
        <item x="40"/>
        <item x="77"/>
        <item x="74"/>
        <item x="48"/>
        <item x="62"/>
        <item x="15"/>
        <item x="1"/>
        <item x="57"/>
        <item x="12"/>
        <item x="2"/>
        <item x="13"/>
        <item x="60"/>
        <item x="61"/>
        <item x="59"/>
        <item x="49"/>
        <item x="89"/>
        <item x="45"/>
        <item x="0"/>
        <item x="91"/>
        <item x="56"/>
        <item x="35"/>
        <item x="68"/>
        <item x="72"/>
        <item x="33"/>
        <item x="53"/>
        <item x="27"/>
        <item x="94"/>
        <item x="78"/>
        <item x="65"/>
        <item x="25"/>
        <item x="46"/>
        <item x="95"/>
        <item x="87"/>
        <item x="75"/>
        <item x="22"/>
        <item x="10"/>
        <item x="69"/>
        <item x="4"/>
        <item x="47"/>
        <item x="34"/>
        <item x="8"/>
        <item x="90"/>
        <item x="32"/>
        <item x="66"/>
        <item x="24"/>
        <item x="18"/>
        <item x="26"/>
        <item x="50"/>
        <item x="29"/>
        <item x="92"/>
        <item x="17"/>
        <item x="39"/>
        <item x="14"/>
        <item x="5"/>
        <item x="98"/>
        <item x="19"/>
        <item x="97"/>
        <item x="6"/>
        <item x="81"/>
        <item x="41"/>
        <item x="37"/>
        <item x="76"/>
        <item x="73"/>
        <item x="9"/>
        <item x="30"/>
        <item x="79"/>
        <item x="42"/>
        <item x="28"/>
        <item x="55"/>
        <item x="85"/>
        <item x="71"/>
        <item x="58"/>
        <item x="7"/>
        <item x="38"/>
        <item x="11"/>
        <item x="80"/>
        <item x="83"/>
        <item x="16"/>
        <item x="84"/>
        <item x="23"/>
        <item x="67"/>
        <item x="54"/>
        <item x="36"/>
        <item x="31"/>
        <item x="70"/>
        <item x="86"/>
        <item x="43"/>
        <item x="63"/>
        <item x="3"/>
        <item x="88"/>
        <item x="93"/>
        <item x="44"/>
        <item x="64"/>
        <item t="default"/>
      </items>
    </pivotField>
    <pivotField dataField="1" showAll="0"/>
    <pivotField showAll="0"/>
    <pivotField showAll="0" defaultSubtotal="0"/>
  </pivotFields>
  <rowFields count="1">
    <field x="5"/>
  </rowFields>
  <rowItems count="11">
    <i>
      <x v="12"/>
    </i>
    <i>
      <x v="13"/>
    </i>
    <i>
      <x v="19"/>
    </i>
    <i>
      <x v="20"/>
    </i>
    <i>
      <x v="46"/>
    </i>
    <i>
      <x v="56"/>
    </i>
    <i>
      <x v="59"/>
    </i>
    <i>
      <x v="66"/>
    </i>
    <i>
      <x v="73"/>
    </i>
    <i>
      <x v="87"/>
    </i>
    <i t="grand">
      <x/>
    </i>
  </rowItems>
  <colItems count="1">
    <i/>
  </colItems>
  <dataFields count="1">
    <dataField name="Sum of Sales" fld="6"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FC169A-AF45-4C3B-9BF1-A84FCA518198}"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9" firstHeaderRow="0" firstDataRow="1" firstDataCol="1"/>
  <pivotFields count="9">
    <pivotField showAll="0"/>
    <pivotField numFmtId="14" showAll="0"/>
    <pivotField showAll="0"/>
    <pivotField showAll="0"/>
    <pivotField axis="axisRow" showAll="0">
      <items count="16">
        <item x="2"/>
        <item x="14"/>
        <item x="7"/>
        <item x="6"/>
        <item x="5"/>
        <item x="8"/>
        <item x="10"/>
        <item x="1"/>
        <item x="12"/>
        <item x="3"/>
        <item x="0"/>
        <item x="13"/>
        <item x="9"/>
        <item x="11"/>
        <item x="4"/>
        <item t="default"/>
      </items>
    </pivotField>
    <pivotField showAll="0"/>
    <pivotField dataField="1" showAll="0"/>
    <pivotField dataField="1" showAll="0"/>
    <pivotField showAll="0" defaultSubtotal="0"/>
  </pivotFields>
  <rowFields count="1">
    <field x="4"/>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Sales" fld="6" baseField="0" baseItem="0"/>
    <dataField name="Sum of Profit"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EA2F94-BC8C-4430-A16A-1DA5EC377E81}" autoFormatId="16" applyNumberFormats="0" applyBorderFormats="0" applyFontFormats="0" applyPatternFormats="0" applyAlignmentFormats="0" applyWidthHeightFormats="0">
  <queryTableRefresh nextId="9">
    <queryTableFields count="8">
      <queryTableField id="1" name="OrderID" tableColumnId="1"/>
      <queryTableField id="2" name="Date" tableColumnId="2"/>
      <queryTableField id="3" name="Region" tableColumnId="3"/>
      <queryTableField id="4" name="Category" tableColumnId="4"/>
      <queryTableField id="5" name="Product" tableColumnId="5"/>
      <queryTableField id="6" name="Customer" tableColumnId="6"/>
      <queryTableField id="7" name="Sales" tableColumnId="7"/>
      <queryTableField id="8" name="Profi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951201-F0EA-416B-A5EF-5450F8AD9B76}" sourceName="Region">
  <pivotTables>
    <pivotTable tabId="4" name="PivotTable2"/>
  </pivotTables>
  <data>
    <tabular pivotCacheId="114283644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E18867F-E54A-4FF2-B209-0B561662B8AF}" sourceName="Date">
  <pivotTables>
    <pivotTable tabId="6" name="PivotTable4"/>
  </pivotTables>
  <data>
    <tabular pivotCacheId="1393855095">
      <items count="14">
        <i x="1" s="1"/>
        <i x="2" s="1"/>
        <i x="3" s="1"/>
        <i x="4" s="1"/>
        <i x="5" s="1"/>
        <i x="6" s="1"/>
        <i x="7" s="1"/>
        <i x="8" s="1"/>
        <i x="9" s="1"/>
        <i x="10" s="1"/>
        <i x="11" s="1"/>
        <i x="12" s="1"/>
        <i x="0"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204F853-F212-4E9A-8446-354EE176DDE5}" sourceName="Region">
  <pivotTables>
    <pivotTable tabId="8" name="PivotTable1"/>
  </pivotTables>
  <data>
    <tabular pivotCacheId="1142836443">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7727A38-A1AE-46C3-B94C-D0661705116C}" sourceName="Product">
  <pivotTables>
    <pivotTable tabId="9" name="PivotTable2"/>
  </pivotTables>
  <data>
    <tabular pivotCacheId="1142836443">
      <items count="15">
        <i x="2" s="1"/>
        <i x="14" s="1"/>
        <i x="7" s="1"/>
        <i x="6" s="1"/>
        <i x="5" s="1"/>
        <i x="8" s="1"/>
        <i x="10" s="1"/>
        <i x="1" s="1"/>
        <i x="12" s="1"/>
        <i x="3" s="1"/>
        <i x="0" s="1"/>
        <i x="13" s="1"/>
        <i x="9"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944A237-614D-4944-BDA5-34A47EDD137A}"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8183FFEF-6A47-4A84-A70D-FDA508541C1D}" cache="Slicer_Date" caption="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D1DE5CA-3510-49B8-9047-C9FCCDBC39A3}" cache="Slicer_Region1"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35E0043-9501-411C-9AD0-4B05BD463313}" cache="Slicer_Product" caption="Produc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9823531-AB75-4BB8-9A81-DFC0BB13EBBE}" cache="Slicer_Product" caption="Produ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C488DD-DB16-49DF-9EE5-211AFAC0DBC6}" name="sales_dataset_500_rows" displayName="sales_dataset_500_rows" ref="A1:H501" tableType="queryTable" totalsRowShown="0">
  <autoFilter ref="A1:H501" xr:uid="{B0A15D8F-54AD-4468-A112-73C4AFDBD036}">
    <filterColumn colId="1">
      <filters calendarType="gregorian">
        <dateGroupItem year="2024" month="1" dateTimeGrouping="month"/>
        <dateGroupItem year="2024" month="2" day="1" dateTimeGrouping="day"/>
        <dateGroupItem year="2024" month="2" day="2" dateTimeGrouping="day"/>
        <dateGroupItem year="2024" month="2" day="4" dateTimeGrouping="day"/>
        <dateGroupItem year="2024" month="2" day="5" dateTimeGrouping="day"/>
        <dateGroupItem year="2024" month="2" day="6" dateTimeGrouping="day"/>
        <dateGroupItem year="2024" month="2" day="7" dateTimeGrouping="day"/>
        <dateGroupItem year="2024" month="2" day="8" dateTimeGrouping="day"/>
        <dateGroupItem year="2024" month="2" day="9" dateTimeGrouping="day"/>
        <dateGroupItem year="2024" month="2" day="10" dateTimeGrouping="day"/>
        <dateGroupItem year="2024" month="2" day="11" dateTimeGrouping="day"/>
        <dateGroupItem year="2024" month="2" day="12" dateTimeGrouping="day"/>
        <dateGroupItem year="2024" month="2" day="13" dateTimeGrouping="day"/>
        <dateGroupItem year="2024" month="2" day="14" dateTimeGrouping="day"/>
        <dateGroupItem year="2024" month="2" day="15" dateTimeGrouping="day"/>
        <dateGroupItem year="2024" month="2" day="16" dateTimeGrouping="day"/>
        <dateGroupItem year="2024" month="2" day="18" dateTimeGrouping="day"/>
        <dateGroupItem year="2024" month="2" day="19" dateTimeGrouping="day"/>
        <dateGroupItem year="2024" month="2" day="20" dateTimeGrouping="day"/>
        <dateGroupItem year="2024" month="2" day="21" dateTimeGrouping="day"/>
        <dateGroupItem year="2024" month="2" day="22" dateTimeGrouping="day"/>
        <dateGroupItem year="2024" month="2" day="23" dateTimeGrouping="day"/>
        <dateGroupItem year="2024" month="2" day="26" dateTimeGrouping="day"/>
        <dateGroupItem year="2024" month="2" day="27" dateTimeGrouping="day"/>
        <dateGroupItem year="2024" month="2" day="28" dateTimeGrouping="day"/>
        <dateGroupItem year="2024" month="3" dateTimeGrouping="month"/>
      </filters>
    </filterColumn>
  </autoFilter>
  <sortState xmlns:xlrd2="http://schemas.microsoft.com/office/spreadsheetml/2017/richdata2" ref="A2:H501">
    <sortCondition ref="B1:B501"/>
  </sortState>
  <tableColumns count="8">
    <tableColumn id="1" xr3:uid="{8D397868-C8D3-47B1-8DCF-1E9557688DED}" uniqueName="1" name="OrderID" queryTableFieldId="1"/>
    <tableColumn id="2" xr3:uid="{A93A9BBB-5279-4B98-8563-D9FFFC21E4CA}" uniqueName="2" name="Date" queryTableFieldId="2" dataDxfId="4"/>
    <tableColumn id="3" xr3:uid="{608B4F2E-C6AB-47C2-B120-9BD91F96311E}" uniqueName="3" name="Region" queryTableFieldId="3" dataDxfId="3"/>
    <tableColumn id="4" xr3:uid="{457BCD29-535C-4EAF-BE38-B9D9364A65A7}" uniqueName="4" name="Category" queryTableFieldId="4" dataDxfId="2"/>
    <tableColumn id="5" xr3:uid="{C04008EC-7793-4A35-B75D-1EF985DB504B}" uniqueName="5" name="Product" queryTableFieldId="5" dataDxfId="1"/>
    <tableColumn id="6" xr3:uid="{ABCEA29C-4430-4296-95C7-61D692BD89D4}" uniqueName="6" name="Customer" queryTableFieldId="6" dataDxfId="0"/>
    <tableColumn id="7" xr3:uid="{35BE6A05-1DDE-4547-ACAB-8BDA94534339}" uniqueName="7" name="Sales" queryTableFieldId="7"/>
    <tableColumn id="8" xr3:uid="{DBE378E8-659D-4384-A63E-7AF66B35222F}" uniqueName="8" name="Profit"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92B9A-F4C8-4C1F-9BBB-82E9795CEDFA}">
  <dimension ref="A3:B7"/>
  <sheetViews>
    <sheetView workbookViewId="0">
      <selection activeCell="D34" sqref="D34"/>
    </sheetView>
  </sheetViews>
  <sheetFormatPr defaultRowHeight="15" x14ac:dyDescent="0.25"/>
  <cols>
    <col min="1" max="1" width="13.140625" bestFit="1" customWidth="1"/>
    <col min="2" max="2" width="12.5703125" bestFit="1" customWidth="1"/>
  </cols>
  <sheetData>
    <row r="3" spans="1:2" x14ac:dyDescent="0.25">
      <c r="A3" s="3" t="s">
        <v>129</v>
      </c>
      <c r="B3" t="s">
        <v>148</v>
      </c>
    </row>
    <row r="4" spans="1:2" x14ac:dyDescent="0.25">
      <c r="A4" s="4" t="s">
        <v>9</v>
      </c>
      <c r="B4" s="2">
        <v>838543.28000000014</v>
      </c>
    </row>
    <row r="5" spans="1:2" x14ac:dyDescent="0.25">
      <c r="A5" s="4" t="s">
        <v>13</v>
      </c>
      <c r="B5" s="2">
        <v>710302.9600000002</v>
      </c>
    </row>
    <row r="6" spans="1:2" x14ac:dyDescent="0.25">
      <c r="A6" s="4" t="s">
        <v>16</v>
      </c>
      <c r="B6" s="2">
        <v>761915.19000000029</v>
      </c>
    </row>
    <row r="7" spans="1:2" x14ac:dyDescent="0.25">
      <c r="A7" s="4" t="s">
        <v>130</v>
      </c>
      <c r="B7" s="2">
        <v>2310761.4300000006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B538C-EE2B-4CEF-B28D-3DAFD7052F88}">
  <dimension ref="A3:B8"/>
  <sheetViews>
    <sheetView workbookViewId="0">
      <selection activeCell="K20" sqref="K20"/>
    </sheetView>
  </sheetViews>
  <sheetFormatPr defaultRowHeight="15" x14ac:dyDescent="0.25"/>
  <cols>
    <col min="1" max="1" width="13.140625" bestFit="1" customWidth="1"/>
    <col min="2" max="2" width="12.140625" bestFit="1" customWidth="1"/>
  </cols>
  <sheetData>
    <row r="3" spans="1:2" x14ac:dyDescent="0.25">
      <c r="A3" s="3" t="s">
        <v>129</v>
      </c>
      <c r="B3" t="s">
        <v>131</v>
      </c>
    </row>
    <row r="4" spans="1:2" x14ac:dyDescent="0.25">
      <c r="A4" s="4" t="s">
        <v>12</v>
      </c>
      <c r="B4" s="2">
        <v>3364806</v>
      </c>
    </row>
    <row r="5" spans="1:2" x14ac:dyDescent="0.25">
      <c r="A5" s="4" t="s">
        <v>31</v>
      </c>
      <c r="B5" s="2">
        <v>3788446</v>
      </c>
    </row>
    <row r="6" spans="1:2" x14ac:dyDescent="0.25">
      <c r="A6" s="4" t="s">
        <v>8</v>
      </c>
      <c r="B6" s="2">
        <v>4263110</v>
      </c>
    </row>
    <row r="7" spans="1:2" x14ac:dyDescent="0.25">
      <c r="A7" s="4" t="s">
        <v>21</v>
      </c>
      <c r="B7" s="2">
        <v>4104927</v>
      </c>
    </row>
    <row r="8" spans="1:2" x14ac:dyDescent="0.25">
      <c r="A8" s="4" t="s">
        <v>130</v>
      </c>
      <c r="B8" s="2">
        <v>15521289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447A-9486-4BA8-8003-F676AA0F747D}">
  <dimension ref="A3:B15"/>
  <sheetViews>
    <sheetView workbookViewId="0">
      <selection activeCell="D34" sqref="D34"/>
    </sheetView>
  </sheetViews>
  <sheetFormatPr defaultRowHeight="15" x14ac:dyDescent="0.25"/>
  <cols>
    <col min="1" max="1" width="13.140625" bestFit="1" customWidth="1"/>
    <col min="2" max="2" width="12.140625" bestFit="1" customWidth="1"/>
    <col min="3" max="3" width="13.28515625" bestFit="1" customWidth="1"/>
  </cols>
  <sheetData>
    <row r="3" spans="1:2" x14ac:dyDescent="0.25">
      <c r="A3" s="3" t="s">
        <v>129</v>
      </c>
      <c r="B3" t="s">
        <v>131</v>
      </c>
    </row>
    <row r="4" spans="1:2" x14ac:dyDescent="0.25">
      <c r="A4" s="4" t="s">
        <v>132</v>
      </c>
      <c r="B4" s="2">
        <v>1451799</v>
      </c>
    </row>
    <row r="5" spans="1:2" x14ac:dyDescent="0.25">
      <c r="A5" s="4" t="s">
        <v>133</v>
      </c>
      <c r="B5" s="2">
        <v>1492886</v>
      </c>
    </row>
    <row r="6" spans="1:2" x14ac:dyDescent="0.25">
      <c r="A6" s="4" t="s">
        <v>134</v>
      </c>
      <c r="B6" s="2">
        <v>1717955</v>
      </c>
    </row>
    <row r="7" spans="1:2" x14ac:dyDescent="0.25">
      <c r="A7" s="4" t="s">
        <v>135</v>
      </c>
      <c r="B7" s="2">
        <v>1380348</v>
      </c>
    </row>
    <row r="8" spans="1:2" x14ac:dyDescent="0.25">
      <c r="A8" s="4" t="s">
        <v>136</v>
      </c>
      <c r="B8" s="2">
        <v>1214279</v>
      </c>
    </row>
    <row r="9" spans="1:2" x14ac:dyDescent="0.25">
      <c r="A9" s="4" t="s">
        <v>137</v>
      </c>
      <c r="B9" s="2">
        <v>1357412</v>
      </c>
    </row>
    <row r="10" spans="1:2" x14ac:dyDescent="0.25">
      <c r="A10" s="4" t="s">
        <v>138</v>
      </c>
      <c r="B10" s="2">
        <v>1537870</v>
      </c>
    </row>
    <row r="11" spans="1:2" x14ac:dyDescent="0.25">
      <c r="A11" s="4" t="s">
        <v>139</v>
      </c>
      <c r="B11" s="2">
        <v>826376</v>
      </c>
    </row>
    <row r="12" spans="1:2" x14ac:dyDescent="0.25">
      <c r="A12" s="4" t="s">
        <v>140</v>
      </c>
      <c r="B12" s="2">
        <v>1079337</v>
      </c>
    </row>
    <row r="13" spans="1:2" x14ac:dyDescent="0.25">
      <c r="A13" s="4" t="s">
        <v>141</v>
      </c>
      <c r="B13" s="2">
        <v>1359972</v>
      </c>
    </row>
    <row r="14" spans="1:2" x14ac:dyDescent="0.25">
      <c r="A14" s="4" t="s">
        <v>142</v>
      </c>
      <c r="B14" s="2">
        <v>864531</v>
      </c>
    </row>
    <row r="15" spans="1:2" x14ac:dyDescent="0.25">
      <c r="A15" s="4" t="s">
        <v>143</v>
      </c>
      <c r="B15" s="2">
        <v>1238524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04D2-56E3-425D-A798-5D550731FF2F}">
  <dimension ref="A3:F8"/>
  <sheetViews>
    <sheetView topLeftCell="A4" workbookViewId="0">
      <selection activeCell="B6" sqref="B6"/>
    </sheetView>
  </sheetViews>
  <sheetFormatPr defaultRowHeight="15" x14ac:dyDescent="0.25"/>
  <cols>
    <col min="1" max="1" width="13.140625" bestFit="1" customWidth="1"/>
    <col min="2" max="2" width="16.28515625" bestFit="1" customWidth="1"/>
    <col min="3" max="5" width="10" bestFit="1" customWidth="1"/>
    <col min="6" max="6" width="11.28515625" bestFit="1" customWidth="1"/>
  </cols>
  <sheetData>
    <row r="3" spans="1:6" x14ac:dyDescent="0.25">
      <c r="A3" s="3" t="s">
        <v>148</v>
      </c>
      <c r="B3" s="3" t="s">
        <v>147</v>
      </c>
    </row>
    <row r="4" spans="1:6" x14ac:dyDescent="0.25">
      <c r="A4" s="3" t="s">
        <v>129</v>
      </c>
      <c r="B4" t="s">
        <v>12</v>
      </c>
      <c r="C4" t="s">
        <v>31</v>
      </c>
      <c r="D4" t="s">
        <v>8</v>
      </c>
      <c r="E4" t="s">
        <v>21</v>
      </c>
      <c r="F4" t="s">
        <v>130</v>
      </c>
    </row>
    <row r="5" spans="1:6" x14ac:dyDescent="0.25">
      <c r="A5" s="4" t="s">
        <v>9</v>
      </c>
      <c r="B5" s="2">
        <v>186672.59000000008</v>
      </c>
      <c r="C5" s="2">
        <v>239456.82999999996</v>
      </c>
      <c r="D5" s="2">
        <v>212636.47999999998</v>
      </c>
      <c r="E5" s="2">
        <v>199777.38000000006</v>
      </c>
      <c r="F5" s="2">
        <v>838543.28</v>
      </c>
    </row>
    <row r="6" spans="1:6" x14ac:dyDescent="0.25">
      <c r="A6" s="4" t="s">
        <v>13</v>
      </c>
      <c r="B6" s="2">
        <v>125862.39999999998</v>
      </c>
      <c r="C6" s="2">
        <v>163619.92999999996</v>
      </c>
      <c r="D6" s="2">
        <v>191005.58000000002</v>
      </c>
      <c r="E6" s="2">
        <v>229815.05</v>
      </c>
      <c r="F6" s="2">
        <v>710302.96</v>
      </c>
    </row>
    <row r="7" spans="1:6" x14ac:dyDescent="0.25">
      <c r="A7" s="4" t="s">
        <v>16</v>
      </c>
      <c r="B7" s="2">
        <v>162969.07000000004</v>
      </c>
      <c r="C7" s="2">
        <v>168519.06</v>
      </c>
      <c r="D7" s="2">
        <v>224815.01</v>
      </c>
      <c r="E7" s="2">
        <v>205612.05000000008</v>
      </c>
      <c r="F7" s="2">
        <v>761915.19000000006</v>
      </c>
    </row>
    <row r="8" spans="1:6" x14ac:dyDescent="0.25">
      <c r="A8" s="4" t="s">
        <v>130</v>
      </c>
      <c r="B8" s="2">
        <v>475504.06000000006</v>
      </c>
      <c r="C8" s="2">
        <v>571595.81999999983</v>
      </c>
      <c r="D8" s="2">
        <v>628457.07000000007</v>
      </c>
      <c r="E8" s="2">
        <v>635204.4800000001</v>
      </c>
      <c r="F8" s="2">
        <v>2310761.4300000002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BDBC-55CD-435F-AE57-A1E4808FEDAE}">
  <dimension ref="A3:B18"/>
  <sheetViews>
    <sheetView tabSelected="1" workbookViewId="0">
      <selection activeCell="A5" sqref="A5"/>
    </sheetView>
  </sheetViews>
  <sheetFormatPr defaultRowHeight="15" x14ac:dyDescent="0.25"/>
  <cols>
    <col min="1" max="1" width="13.140625" bestFit="1" customWidth="1"/>
    <col min="2" max="2" width="12.5703125" bestFit="1" customWidth="1"/>
    <col min="3" max="3" width="13.7109375" bestFit="1" customWidth="1"/>
  </cols>
  <sheetData>
    <row r="3" spans="1:2" x14ac:dyDescent="0.25">
      <c r="A3" s="3" t="s">
        <v>129</v>
      </c>
      <c r="B3" t="s">
        <v>148</v>
      </c>
    </row>
    <row r="4" spans="1:2" x14ac:dyDescent="0.25">
      <c r="A4" s="4" t="s">
        <v>17</v>
      </c>
      <c r="B4" s="2">
        <v>154805.03</v>
      </c>
    </row>
    <row r="5" spans="1:2" x14ac:dyDescent="0.25">
      <c r="A5" s="4" t="s">
        <v>71</v>
      </c>
      <c r="B5" s="2">
        <v>112260.73</v>
      </c>
    </row>
    <row r="6" spans="1:2" x14ac:dyDescent="0.25">
      <c r="A6" s="4" t="s">
        <v>29</v>
      </c>
      <c r="B6" s="2">
        <v>151121.53000000006</v>
      </c>
    </row>
    <row r="7" spans="1:2" x14ac:dyDescent="0.25">
      <c r="A7" s="4" t="s">
        <v>27</v>
      </c>
      <c r="B7" s="2">
        <v>234719.71</v>
      </c>
    </row>
    <row r="8" spans="1:2" x14ac:dyDescent="0.25">
      <c r="A8" s="4" t="s">
        <v>25</v>
      </c>
      <c r="B8" s="2">
        <v>201786.96999999997</v>
      </c>
    </row>
    <row r="9" spans="1:2" x14ac:dyDescent="0.25">
      <c r="A9" s="4" t="s">
        <v>33</v>
      </c>
      <c r="B9" s="2">
        <v>158166.55000000002</v>
      </c>
    </row>
    <row r="10" spans="1:2" x14ac:dyDescent="0.25">
      <c r="A10" s="4" t="s">
        <v>41</v>
      </c>
      <c r="B10" s="2">
        <v>166456.09999999998</v>
      </c>
    </row>
    <row r="11" spans="1:2" x14ac:dyDescent="0.25">
      <c r="A11" s="4" t="s">
        <v>14</v>
      </c>
      <c r="B11" s="2">
        <v>96763.939999999973</v>
      </c>
    </row>
    <row r="12" spans="1:2" ht="14.25" customHeight="1" x14ac:dyDescent="0.25">
      <c r="A12" s="4" t="s">
        <v>47</v>
      </c>
      <c r="B12" s="2">
        <v>167021.29999999999</v>
      </c>
    </row>
    <row r="13" spans="1:2" ht="12" customHeight="1" x14ac:dyDescent="0.25">
      <c r="A13" s="4" t="s">
        <v>19</v>
      </c>
      <c r="B13" s="2">
        <v>146815.17000000001</v>
      </c>
    </row>
    <row r="14" spans="1:2" x14ac:dyDescent="0.25">
      <c r="A14" s="4" t="s">
        <v>10</v>
      </c>
      <c r="B14" s="2">
        <v>153646.05000000002</v>
      </c>
    </row>
    <row r="15" spans="1:2" x14ac:dyDescent="0.25">
      <c r="A15" s="4" t="s">
        <v>66</v>
      </c>
      <c r="B15" s="2">
        <v>224767.26000000004</v>
      </c>
    </row>
    <row r="16" spans="1:2" x14ac:dyDescent="0.25">
      <c r="A16" s="4" t="s">
        <v>35</v>
      </c>
      <c r="B16" s="2">
        <v>101575.37999999999</v>
      </c>
    </row>
    <row r="17" spans="1:2" x14ac:dyDescent="0.25">
      <c r="A17" s="4" t="s">
        <v>44</v>
      </c>
      <c r="B17" s="2">
        <v>103060.87000000002</v>
      </c>
    </row>
    <row r="18" spans="1:2" x14ac:dyDescent="0.25">
      <c r="A18" s="4" t="s">
        <v>22</v>
      </c>
      <c r="B18" s="2">
        <v>137794.84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9B32E-8BCE-4137-A2AC-C5182227FC35}">
  <dimension ref="A3:B14"/>
  <sheetViews>
    <sheetView workbookViewId="0">
      <selection activeCell="O12" sqref="O12"/>
    </sheetView>
  </sheetViews>
  <sheetFormatPr defaultRowHeight="15" x14ac:dyDescent="0.25"/>
  <cols>
    <col min="1" max="1" width="13.140625" bestFit="1" customWidth="1"/>
    <col min="2" max="2" width="12.140625" bestFit="1" customWidth="1"/>
  </cols>
  <sheetData>
    <row r="3" spans="1:2" x14ac:dyDescent="0.25">
      <c r="A3" s="3" t="s">
        <v>129</v>
      </c>
      <c r="B3" t="s">
        <v>131</v>
      </c>
    </row>
    <row r="4" spans="1:2" x14ac:dyDescent="0.25">
      <c r="A4" s="4" t="s">
        <v>15</v>
      </c>
      <c r="B4" s="2">
        <v>277736</v>
      </c>
    </row>
    <row r="5" spans="1:2" x14ac:dyDescent="0.25">
      <c r="A5" s="4" t="s">
        <v>87</v>
      </c>
      <c r="B5" s="2">
        <v>335316</v>
      </c>
    </row>
    <row r="6" spans="1:2" x14ac:dyDescent="0.25">
      <c r="A6" s="4" t="s">
        <v>89</v>
      </c>
      <c r="B6" s="2">
        <v>342037</v>
      </c>
    </row>
    <row r="7" spans="1:2" x14ac:dyDescent="0.25">
      <c r="A7" s="4" t="s">
        <v>79</v>
      </c>
      <c r="B7" s="2">
        <v>330848</v>
      </c>
    </row>
    <row r="8" spans="1:2" x14ac:dyDescent="0.25">
      <c r="A8" s="4" t="s">
        <v>30</v>
      </c>
      <c r="B8" s="2">
        <v>317871</v>
      </c>
    </row>
    <row r="9" spans="1:2" x14ac:dyDescent="0.25">
      <c r="A9" s="4" t="s">
        <v>43</v>
      </c>
      <c r="B9" s="2">
        <v>271175</v>
      </c>
    </row>
    <row r="10" spans="1:2" x14ac:dyDescent="0.25">
      <c r="A10" s="4" t="s">
        <v>24</v>
      </c>
      <c r="B10" s="2">
        <v>333760</v>
      </c>
    </row>
    <row r="11" spans="1:2" x14ac:dyDescent="0.25">
      <c r="A11" s="4" t="s">
        <v>65</v>
      </c>
      <c r="B11" s="2">
        <v>295070</v>
      </c>
    </row>
    <row r="12" spans="1:2" x14ac:dyDescent="0.25">
      <c r="A12" s="4" t="s">
        <v>56</v>
      </c>
      <c r="B12" s="2">
        <v>307615</v>
      </c>
    </row>
    <row r="13" spans="1:2" x14ac:dyDescent="0.25">
      <c r="A13" s="4" t="s">
        <v>84</v>
      </c>
      <c r="B13" s="2">
        <v>336874</v>
      </c>
    </row>
    <row r="14" spans="1:2" x14ac:dyDescent="0.25">
      <c r="A14" s="4" t="s">
        <v>130</v>
      </c>
      <c r="B14" s="2">
        <v>3148302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AADC4-6945-47D1-AC4E-8B557AFC48FC}">
  <dimension ref="A3:C19"/>
  <sheetViews>
    <sheetView workbookViewId="0">
      <selection activeCell="L27" sqref="L27"/>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3" t="s">
        <v>129</v>
      </c>
      <c r="B3" t="s">
        <v>131</v>
      </c>
      <c r="C3" t="s">
        <v>148</v>
      </c>
    </row>
    <row r="4" spans="1:3" x14ac:dyDescent="0.25">
      <c r="A4" s="4" t="s">
        <v>17</v>
      </c>
      <c r="B4" s="2">
        <v>920987</v>
      </c>
      <c r="C4" s="2">
        <v>154805.03</v>
      </c>
    </row>
    <row r="5" spans="1:3" x14ac:dyDescent="0.25">
      <c r="A5" s="4" t="s">
        <v>71</v>
      </c>
      <c r="B5" s="2">
        <v>776426</v>
      </c>
      <c r="C5" s="2">
        <v>112260.73</v>
      </c>
    </row>
    <row r="6" spans="1:3" x14ac:dyDescent="0.25">
      <c r="A6" s="4" t="s">
        <v>29</v>
      </c>
      <c r="B6" s="2">
        <v>1048778</v>
      </c>
      <c r="C6" s="2">
        <v>151121.53000000006</v>
      </c>
    </row>
    <row r="7" spans="1:3" x14ac:dyDescent="0.25">
      <c r="A7" s="4" t="s">
        <v>27</v>
      </c>
      <c r="B7" s="2">
        <v>1561373</v>
      </c>
      <c r="C7" s="2">
        <v>234719.71</v>
      </c>
    </row>
    <row r="8" spans="1:3" x14ac:dyDescent="0.25">
      <c r="A8" s="4" t="s">
        <v>25</v>
      </c>
      <c r="B8" s="2">
        <v>1146734</v>
      </c>
      <c r="C8" s="2">
        <v>201786.96999999997</v>
      </c>
    </row>
    <row r="9" spans="1:3" x14ac:dyDescent="0.25">
      <c r="A9" s="4" t="s">
        <v>33</v>
      </c>
      <c r="B9" s="2">
        <v>1029174</v>
      </c>
      <c r="C9" s="2">
        <v>158166.55000000002</v>
      </c>
    </row>
    <row r="10" spans="1:3" x14ac:dyDescent="0.25">
      <c r="A10" s="4" t="s">
        <v>41</v>
      </c>
      <c r="B10" s="2">
        <v>1118187</v>
      </c>
      <c r="C10" s="2">
        <v>166456.09999999998</v>
      </c>
    </row>
    <row r="11" spans="1:3" x14ac:dyDescent="0.25">
      <c r="A11" s="4" t="s">
        <v>14</v>
      </c>
      <c r="B11" s="2">
        <v>762880</v>
      </c>
      <c r="C11" s="2">
        <v>96763.939999999973</v>
      </c>
    </row>
    <row r="12" spans="1:3" x14ac:dyDescent="0.25">
      <c r="A12" s="4" t="s">
        <v>47</v>
      </c>
      <c r="B12" s="2">
        <v>1104035</v>
      </c>
      <c r="C12" s="2">
        <v>167021.29999999999</v>
      </c>
    </row>
    <row r="13" spans="1:3" x14ac:dyDescent="0.25">
      <c r="A13" s="4" t="s">
        <v>19</v>
      </c>
      <c r="B13" s="2">
        <v>963537</v>
      </c>
      <c r="C13" s="2">
        <v>146815.17000000001</v>
      </c>
    </row>
    <row r="14" spans="1:3" x14ac:dyDescent="0.25">
      <c r="A14" s="4" t="s">
        <v>10</v>
      </c>
      <c r="B14" s="2">
        <v>1106761</v>
      </c>
      <c r="C14" s="2">
        <v>153646.05000000002</v>
      </c>
    </row>
    <row r="15" spans="1:3" x14ac:dyDescent="0.25">
      <c r="A15" s="4" t="s">
        <v>66</v>
      </c>
      <c r="B15" s="2">
        <v>1555824</v>
      </c>
      <c r="C15" s="2">
        <v>224767.26000000004</v>
      </c>
    </row>
    <row r="16" spans="1:3" x14ac:dyDescent="0.25">
      <c r="A16" s="4" t="s">
        <v>35</v>
      </c>
      <c r="B16" s="2">
        <v>698032</v>
      </c>
      <c r="C16" s="2">
        <v>101575.37999999999</v>
      </c>
    </row>
    <row r="17" spans="1:3" x14ac:dyDescent="0.25">
      <c r="A17" s="4" t="s">
        <v>44</v>
      </c>
      <c r="B17" s="2">
        <v>670555</v>
      </c>
      <c r="C17" s="2">
        <v>103060.87000000002</v>
      </c>
    </row>
    <row r="18" spans="1:3" x14ac:dyDescent="0.25">
      <c r="A18" s="4" t="s">
        <v>22</v>
      </c>
      <c r="B18" s="2">
        <v>1058006</v>
      </c>
      <c r="C18" s="2">
        <v>137794.84</v>
      </c>
    </row>
    <row r="19" spans="1:3" x14ac:dyDescent="0.25">
      <c r="A19" s="4" t="s">
        <v>130</v>
      </c>
      <c r="B19" s="2">
        <v>15521289</v>
      </c>
      <c r="C19" s="2">
        <v>2310761.4299999997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B334E-DAA9-44EE-8E5F-AB55644861ED}">
  <dimension ref="A1:J501"/>
  <sheetViews>
    <sheetView topLeftCell="A2" workbookViewId="0">
      <selection activeCell="E23" sqref="E23"/>
    </sheetView>
  </sheetViews>
  <sheetFormatPr defaultRowHeight="15" x14ac:dyDescent="0.25"/>
  <cols>
    <col min="1" max="1" width="10.28515625" bestFit="1" customWidth="1"/>
    <col min="2" max="2" width="22.85546875" style="1" customWidth="1"/>
    <col min="3" max="3" width="9.42578125" bestFit="1" customWidth="1"/>
    <col min="4" max="4" width="11.140625" bestFit="1" customWidth="1"/>
    <col min="5" max="5" width="12.140625" bestFit="1" customWidth="1"/>
    <col min="6" max="6" width="13.7109375" bestFit="1" customWidth="1"/>
    <col min="7" max="7" width="7.85546875" bestFit="1" customWidth="1"/>
    <col min="8" max="8" width="9" bestFit="1" customWidth="1"/>
  </cols>
  <sheetData>
    <row r="1" spans="1:10" x14ac:dyDescent="0.25">
      <c r="A1" t="s">
        <v>0</v>
      </c>
      <c r="B1" s="1" t="s">
        <v>1</v>
      </c>
      <c r="C1" t="s">
        <v>2</v>
      </c>
      <c r="D1" t="s">
        <v>3</v>
      </c>
      <c r="E1" t="s">
        <v>4</v>
      </c>
      <c r="F1" t="s">
        <v>5</v>
      </c>
      <c r="G1" t="s">
        <v>6</v>
      </c>
      <c r="H1" t="s">
        <v>7</v>
      </c>
    </row>
    <row r="2" spans="1:10" x14ac:dyDescent="0.25">
      <c r="A2">
        <v>1022</v>
      </c>
      <c r="B2" s="5">
        <v>45293</v>
      </c>
      <c r="C2" s="2" t="s">
        <v>21</v>
      </c>
      <c r="D2" s="2" t="s">
        <v>16</v>
      </c>
      <c r="E2" s="2" t="s">
        <v>17</v>
      </c>
      <c r="F2" s="2" t="s">
        <v>11</v>
      </c>
      <c r="G2">
        <v>57467</v>
      </c>
      <c r="H2">
        <v>14102.16</v>
      </c>
    </row>
    <row r="3" spans="1:10" x14ac:dyDescent="0.25">
      <c r="A3">
        <v>1456</v>
      </c>
      <c r="B3" s="5">
        <v>45294</v>
      </c>
      <c r="C3" s="2" t="s">
        <v>31</v>
      </c>
      <c r="D3" s="2" t="s">
        <v>9</v>
      </c>
      <c r="E3" s="2" t="s">
        <v>27</v>
      </c>
      <c r="F3" s="2" t="s">
        <v>67</v>
      </c>
      <c r="G3">
        <v>4080</v>
      </c>
      <c r="H3">
        <v>766.73</v>
      </c>
    </row>
    <row r="4" spans="1:10" x14ac:dyDescent="0.25">
      <c r="A4">
        <v>1164</v>
      </c>
      <c r="B4" s="5">
        <v>45296</v>
      </c>
      <c r="C4" s="2" t="s">
        <v>21</v>
      </c>
      <c r="D4" s="2" t="s">
        <v>16</v>
      </c>
      <c r="E4" s="2" t="s">
        <v>44</v>
      </c>
      <c r="F4" s="2" t="s">
        <v>58</v>
      </c>
      <c r="G4">
        <v>35656</v>
      </c>
      <c r="H4">
        <v>4048.01</v>
      </c>
    </row>
    <row r="5" spans="1:10" x14ac:dyDescent="0.25">
      <c r="A5">
        <v>1331</v>
      </c>
      <c r="B5" s="5">
        <v>45296</v>
      </c>
      <c r="C5" s="2" t="s">
        <v>8</v>
      </c>
      <c r="D5" s="2" t="s">
        <v>9</v>
      </c>
      <c r="E5" s="2" t="s">
        <v>19</v>
      </c>
      <c r="F5" s="2" t="s">
        <v>125</v>
      </c>
      <c r="G5">
        <v>22593</v>
      </c>
      <c r="H5">
        <v>4364.99</v>
      </c>
    </row>
    <row r="6" spans="1:10" x14ac:dyDescent="0.25">
      <c r="A6">
        <v>1185</v>
      </c>
      <c r="B6" s="5">
        <v>45297</v>
      </c>
      <c r="C6" s="2" t="s">
        <v>12</v>
      </c>
      <c r="D6" s="2" t="s">
        <v>13</v>
      </c>
      <c r="E6" s="2" t="s">
        <v>29</v>
      </c>
      <c r="F6" s="2" t="s">
        <v>84</v>
      </c>
      <c r="G6">
        <v>3517</v>
      </c>
      <c r="H6">
        <v>438.47</v>
      </c>
    </row>
    <row r="7" spans="1:10" x14ac:dyDescent="0.25">
      <c r="A7">
        <v>1278</v>
      </c>
      <c r="B7" s="5">
        <v>45297</v>
      </c>
      <c r="C7" s="2" t="s">
        <v>21</v>
      </c>
      <c r="D7" s="2" t="s">
        <v>9</v>
      </c>
      <c r="E7" s="2" t="s">
        <v>25</v>
      </c>
      <c r="F7" s="2" t="s">
        <v>102</v>
      </c>
      <c r="G7">
        <v>10162</v>
      </c>
      <c r="H7">
        <v>1719.12</v>
      </c>
    </row>
    <row r="8" spans="1:10" x14ac:dyDescent="0.25">
      <c r="A8">
        <v>1329</v>
      </c>
      <c r="B8" s="5">
        <v>45298</v>
      </c>
      <c r="C8" s="2" t="s">
        <v>8</v>
      </c>
      <c r="D8" s="2" t="s">
        <v>13</v>
      </c>
      <c r="E8" s="2" t="s">
        <v>14</v>
      </c>
      <c r="F8" s="2" t="s">
        <v>108</v>
      </c>
      <c r="G8">
        <v>50780</v>
      </c>
      <c r="H8">
        <v>4303.32</v>
      </c>
      <c r="J8" t="s">
        <v>144</v>
      </c>
    </row>
    <row r="9" spans="1:10" x14ac:dyDescent="0.25">
      <c r="A9">
        <v>1111</v>
      </c>
      <c r="B9" s="5">
        <v>45299</v>
      </c>
      <c r="C9" s="2" t="s">
        <v>8</v>
      </c>
      <c r="D9" s="2" t="s">
        <v>9</v>
      </c>
      <c r="E9" s="2" t="s">
        <v>27</v>
      </c>
      <c r="F9" s="2" t="s">
        <v>99</v>
      </c>
      <c r="G9">
        <v>38623</v>
      </c>
      <c r="H9">
        <v>8866.7999999999993</v>
      </c>
      <c r="J9">
        <f>SUM(G:G)</f>
        <v>15521289</v>
      </c>
    </row>
    <row r="10" spans="1:10" x14ac:dyDescent="0.25">
      <c r="A10">
        <v>1175</v>
      </c>
      <c r="B10" s="5">
        <v>45300</v>
      </c>
      <c r="C10" s="2" t="s">
        <v>21</v>
      </c>
      <c r="D10" s="2" t="s">
        <v>13</v>
      </c>
      <c r="E10" s="2" t="s">
        <v>14</v>
      </c>
      <c r="F10" s="2" t="s">
        <v>79</v>
      </c>
      <c r="G10">
        <v>26267</v>
      </c>
      <c r="H10">
        <v>3915.77</v>
      </c>
    </row>
    <row r="11" spans="1:10" x14ac:dyDescent="0.25">
      <c r="A11">
        <v>1429</v>
      </c>
      <c r="B11" s="5">
        <v>45300</v>
      </c>
      <c r="C11" s="2" t="s">
        <v>12</v>
      </c>
      <c r="D11" s="2" t="s">
        <v>13</v>
      </c>
      <c r="E11" s="2" t="s">
        <v>41</v>
      </c>
      <c r="F11" s="2" t="s">
        <v>37</v>
      </c>
      <c r="G11">
        <v>11967</v>
      </c>
      <c r="H11">
        <v>1460.9</v>
      </c>
      <c r="J11" t="s">
        <v>145</v>
      </c>
    </row>
    <row r="12" spans="1:10" x14ac:dyDescent="0.25">
      <c r="A12">
        <v>1105</v>
      </c>
      <c r="B12" s="5">
        <v>45301</v>
      </c>
      <c r="C12" s="2" t="s">
        <v>21</v>
      </c>
      <c r="D12" s="2" t="s">
        <v>13</v>
      </c>
      <c r="E12" s="2" t="s">
        <v>29</v>
      </c>
      <c r="F12" s="2" t="s">
        <v>48</v>
      </c>
      <c r="G12">
        <v>13069</v>
      </c>
      <c r="H12">
        <v>2680.24</v>
      </c>
      <c r="J12">
        <f>SUM(H:H)</f>
        <v>2310761.4299999997</v>
      </c>
    </row>
    <row r="13" spans="1:10" x14ac:dyDescent="0.25">
      <c r="A13">
        <v>1165</v>
      </c>
      <c r="B13" s="5">
        <v>45301</v>
      </c>
      <c r="C13" s="2" t="s">
        <v>12</v>
      </c>
      <c r="D13" s="2" t="s">
        <v>13</v>
      </c>
      <c r="E13" s="2" t="s">
        <v>14</v>
      </c>
      <c r="F13" s="2" t="s">
        <v>76</v>
      </c>
      <c r="G13">
        <v>20977</v>
      </c>
      <c r="H13">
        <v>4531.8</v>
      </c>
    </row>
    <row r="14" spans="1:10" x14ac:dyDescent="0.25">
      <c r="A14">
        <v>1379</v>
      </c>
      <c r="B14" s="5">
        <v>45301</v>
      </c>
      <c r="C14" s="2" t="s">
        <v>8</v>
      </c>
      <c r="D14" s="2" t="s">
        <v>16</v>
      </c>
      <c r="E14" s="2" t="s">
        <v>66</v>
      </c>
      <c r="F14" s="2" t="s">
        <v>105</v>
      </c>
      <c r="G14">
        <v>11064</v>
      </c>
      <c r="H14">
        <v>2469.5700000000002</v>
      </c>
    </row>
    <row r="15" spans="1:10" x14ac:dyDescent="0.25">
      <c r="A15">
        <v>1130</v>
      </c>
      <c r="B15" s="5">
        <v>45302</v>
      </c>
      <c r="C15" s="2" t="s">
        <v>12</v>
      </c>
      <c r="D15" s="2" t="s">
        <v>16</v>
      </c>
      <c r="E15" s="2" t="s">
        <v>47</v>
      </c>
      <c r="F15" s="2" t="s">
        <v>105</v>
      </c>
      <c r="G15">
        <v>30871</v>
      </c>
      <c r="H15">
        <v>2128.04</v>
      </c>
      <c r="J15" t="s">
        <v>146</v>
      </c>
    </row>
    <row r="16" spans="1:10" x14ac:dyDescent="0.25">
      <c r="A16">
        <v>1304</v>
      </c>
      <c r="B16" s="5">
        <v>45302</v>
      </c>
      <c r="C16" s="2" t="s">
        <v>8</v>
      </c>
      <c r="D16" s="2" t="s">
        <v>9</v>
      </c>
      <c r="E16" s="2" t="s">
        <v>19</v>
      </c>
      <c r="F16" s="2" t="s">
        <v>99</v>
      </c>
      <c r="G16">
        <v>4430</v>
      </c>
      <c r="H16">
        <v>1092.3499999999999</v>
      </c>
      <c r="J16">
        <f>COUNT(A:A)</f>
        <v>500</v>
      </c>
    </row>
    <row r="17" spans="1:8" x14ac:dyDescent="0.25">
      <c r="A17">
        <v>1273</v>
      </c>
      <c r="B17" s="5">
        <v>45303</v>
      </c>
      <c r="C17" s="2" t="s">
        <v>31</v>
      </c>
      <c r="D17" s="2" t="s">
        <v>16</v>
      </c>
      <c r="E17" s="2" t="s">
        <v>66</v>
      </c>
      <c r="F17" s="2" t="s">
        <v>76</v>
      </c>
      <c r="G17">
        <v>12771</v>
      </c>
      <c r="H17">
        <v>3105.25</v>
      </c>
    </row>
    <row r="18" spans="1:8" x14ac:dyDescent="0.25">
      <c r="A18">
        <v>1330</v>
      </c>
      <c r="B18" s="5">
        <v>45303</v>
      </c>
      <c r="C18" s="2" t="s">
        <v>21</v>
      </c>
      <c r="D18" s="2" t="s">
        <v>9</v>
      </c>
      <c r="E18" s="2" t="s">
        <v>25</v>
      </c>
      <c r="F18" s="2" t="s">
        <v>61</v>
      </c>
      <c r="G18">
        <v>31030</v>
      </c>
      <c r="H18">
        <v>7320.01</v>
      </c>
    </row>
    <row r="19" spans="1:8" x14ac:dyDescent="0.25">
      <c r="A19">
        <v>1472</v>
      </c>
      <c r="B19" s="5">
        <v>45303</v>
      </c>
      <c r="C19" s="2" t="s">
        <v>12</v>
      </c>
      <c r="D19" s="2" t="s">
        <v>13</v>
      </c>
      <c r="E19" s="2" t="s">
        <v>22</v>
      </c>
      <c r="F19" s="2" t="s">
        <v>72</v>
      </c>
      <c r="G19">
        <v>22604</v>
      </c>
      <c r="H19">
        <v>2497.65</v>
      </c>
    </row>
    <row r="20" spans="1:8" x14ac:dyDescent="0.25">
      <c r="A20">
        <v>1052</v>
      </c>
      <c r="B20" s="5">
        <v>45305</v>
      </c>
      <c r="C20" s="2" t="s">
        <v>21</v>
      </c>
      <c r="D20" s="2" t="s">
        <v>9</v>
      </c>
      <c r="E20" s="2" t="s">
        <v>25</v>
      </c>
      <c r="F20" s="2" t="s">
        <v>50</v>
      </c>
      <c r="G20">
        <v>20842</v>
      </c>
      <c r="H20">
        <v>3606.4</v>
      </c>
    </row>
    <row r="21" spans="1:8" x14ac:dyDescent="0.25">
      <c r="A21">
        <v>1290</v>
      </c>
      <c r="B21" s="5">
        <v>45305</v>
      </c>
      <c r="C21" s="2" t="s">
        <v>31</v>
      </c>
      <c r="D21" s="2" t="s">
        <v>9</v>
      </c>
      <c r="E21" s="2" t="s">
        <v>27</v>
      </c>
      <c r="F21" s="2" t="s">
        <v>20</v>
      </c>
      <c r="G21">
        <v>51236</v>
      </c>
      <c r="H21">
        <v>3265.53</v>
      </c>
    </row>
    <row r="22" spans="1:8" x14ac:dyDescent="0.25">
      <c r="A22">
        <v>1221</v>
      </c>
      <c r="B22" s="5">
        <v>45306</v>
      </c>
      <c r="C22" s="2" t="s">
        <v>21</v>
      </c>
      <c r="D22" s="2" t="s">
        <v>9</v>
      </c>
      <c r="E22" s="2" t="s">
        <v>27</v>
      </c>
      <c r="F22" s="2" t="s">
        <v>77</v>
      </c>
      <c r="G22">
        <v>5568</v>
      </c>
      <c r="H22">
        <v>332.35</v>
      </c>
    </row>
    <row r="23" spans="1:8" x14ac:dyDescent="0.25">
      <c r="A23">
        <v>1355</v>
      </c>
      <c r="B23" s="5">
        <v>45306</v>
      </c>
      <c r="C23" s="2" t="s">
        <v>21</v>
      </c>
      <c r="D23" s="2" t="s">
        <v>16</v>
      </c>
      <c r="E23" s="2" t="s">
        <v>66</v>
      </c>
      <c r="F23" s="2" t="s">
        <v>69</v>
      </c>
      <c r="G23">
        <v>50117</v>
      </c>
      <c r="H23">
        <v>10223.23</v>
      </c>
    </row>
    <row r="24" spans="1:8" x14ac:dyDescent="0.25">
      <c r="A24">
        <v>1437</v>
      </c>
      <c r="B24" s="5">
        <v>45306</v>
      </c>
      <c r="C24" s="2" t="s">
        <v>31</v>
      </c>
      <c r="D24" s="2" t="s">
        <v>9</v>
      </c>
      <c r="E24" s="2" t="s">
        <v>10</v>
      </c>
      <c r="F24" s="2" t="s">
        <v>74</v>
      </c>
      <c r="G24">
        <v>50919</v>
      </c>
      <c r="H24">
        <v>6385.55</v>
      </c>
    </row>
    <row r="25" spans="1:8" x14ac:dyDescent="0.25">
      <c r="A25">
        <v>1168</v>
      </c>
      <c r="B25" s="5">
        <v>45307</v>
      </c>
      <c r="C25" s="2" t="s">
        <v>8</v>
      </c>
      <c r="D25" s="2" t="s">
        <v>9</v>
      </c>
      <c r="E25" s="2" t="s">
        <v>10</v>
      </c>
      <c r="F25" s="2" t="s">
        <v>105</v>
      </c>
      <c r="G25">
        <v>55847</v>
      </c>
      <c r="H25">
        <v>7533.46</v>
      </c>
    </row>
    <row r="26" spans="1:8" x14ac:dyDescent="0.25">
      <c r="A26">
        <v>1207</v>
      </c>
      <c r="B26" s="5">
        <v>45307</v>
      </c>
      <c r="C26" s="2" t="s">
        <v>31</v>
      </c>
      <c r="D26" s="2" t="s">
        <v>13</v>
      </c>
      <c r="E26" s="2" t="s">
        <v>41</v>
      </c>
      <c r="F26" s="2" t="s">
        <v>51</v>
      </c>
      <c r="G26">
        <v>1055</v>
      </c>
      <c r="H26">
        <v>218.44</v>
      </c>
    </row>
    <row r="27" spans="1:8" x14ac:dyDescent="0.25">
      <c r="A27">
        <v>1321</v>
      </c>
      <c r="B27" s="5">
        <v>45307</v>
      </c>
      <c r="C27" s="2" t="s">
        <v>21</v>
      </c>
      <c r="D27" s="2" t="s">
        <v>9</v>
      </c>
      <c r="E27" s="2" t="s">
        <v>10</v>
      </c>
      <c r="F27" s="2" t="s">
        <v>63</v>
      </c>
      <c r="G27">
        <v>38646</v>
      </c>
      <c r="H27">
        <v>3239.41</v>
      </c>
    </row>
    <row r="28" spans="1:8" x14ac:dyDescent="0.25">
      <c r="A28">
        <v>1053</v>
      </c>
      <c r="B28" s="5">
        <v>45308</v>
      </c>
      <c r="C28" s="2" t="s">
        <v>31</v>
      </c>
      <c r="D28" s="2" t="s">
        <v>16</v>
      </c>
      <c r="E28" s="2" t="s">
        <v>71</v>
      </c>
      <c r="F28" s="2" t="s">
        <v>50</v>
      </c>
      <c r="G28">
        <v>20388</v>
      </c>
      <c r="H28">
        <v>1421.59</v>
      </c>
    </row>
    <row r="29" spans="1:8" x14ac:dyDescent="0.25">
      <c r="A29">
        <v>1376</v>
      </c>
      <c r="B29" s="5">
        <v>45309</v>
      </c>
      <c r="C29" s="2" t="s">
        <v>12</v>
      </c>
      <c r="D29" s="2" t="s">
        <v>9</v>
      </c>
      <c r="E29" s="2" t="s">
        <v>10</v>
      </c>
      <c r="F29" s="2" t="s">
        <v>122</v>
      </c>
      <c r="G29">
        <v>13196</v>
      </c>
      <c r="H29">
        <v>1001.5</v>
      </c>
    </row>
    <row r="30" spans="1:8" x14ac:dyDescent="0.25">
      <c r="A30">
        <v>1005</v>
      </c>
      <c r="B30" s="5">
        <v>45310</v>
      </c>
      <c r="C30" s="2" t="s">
        <v>12</v>
      </c>
      <c r="D30" s="2" t="s">
        <v>13</v>
      </c>
      <c r="E30" s="2" t="s">
        <v>22</v>
      </c>
      <c r="F30" s="2" t="s">
        <v>24</v>
      </c>
      <c r="G30">
        <v>2473</v>
      </c>
      <c r="H30">
        <v>277.11</v>
      </c>
    </row>
    <row r="31" spans="1:8" x14ac:dyDescent="0.25">
      <c r="A31">
        <v>1272</v>
      </c>
      <c r="B31" s="5">
        <v>45310</v>
      </c>
      <c r="C31" s="2" t="s">
        <v>21</v>
      </c>
      <c r="D31" s="2" t="s">
        <v>16</v>
      </c>
      <c r="E31" s="2" t="s">
        <v>47</v>
      </c>
      <c r="F31" s="2" t="s">
        <v>84</v>
      </c>
      <c r="G31">
        <v>21412</v>
      </c>
      <c r="H31">
        <v>4387.5200000000004</v>
      </c>
    </row>
    <row r="32" spans="1:8" x14ac:dyDescent="0.25">
      <c r="A32">
        <v>1357</v>
      </c>
      <c r="B32" s="5">
        <v>45311</v>
      </c>
      <c r="C32" s="2" t="s">
        <v>31</v>
      </c>
      <c r="D32" s="2" t="s">
        <v>13</v>
      </c>
      <c r="E32" s="2" t="s">
        <v>14</v>
      </c>
      <c r="F32" s="2" t="s">
        <v>120</v>
      </c>
      <c r="G32">
        <v>21132</v>
      </c>
      <c r="H32">
        <v>3006.21</v>
      </c>
    </row>
    <row r="33" spans="1:8" x14ac:dyDescent="0.25">
      <c r="A33">
        <v>1119</v>
      </c>
      <c r="B33" s="5">
        <v>45312</v>
      </c>
      <c r="C33" s="2" t="s">
        <v>21</v>
      </c>
      <c r="D33" s="2" t="s">
        <v>9</v>
      </c>
      <c r="E33" s="2" t="s">
        <v>10</v>
      </c>
      <c r="F33" s="2" t="s">
        <v>92</v>
      </c>
      <c r="G33">
        <v>37694</v>
      </c>
      <c r="H33">
        <v>5276.25</v>
      </c>
    </row>
    <row r="34" spans="1:8" x14ac:dyDescent="0.25">
      <c r="A34">
        <v>1261</v>
      </c>
      <c r="B34" s="5">
        <v>45313</v>
      </c>
      <c r="C34" s="2" t="s">
        <v>21</v>
      </c>
      <c r="D34" s="2" t="s">
        <v>13</v>
      </c>
      <c r="E34" s="2" t="s">
        <v>41</v>
      </c>
      <c r="F34" s="2" t="s">
        <v>45</v>
      </c>
      <c r="G34">
        <v>47228</v>
      </c>
      <c r="H34">
        <v>5113.78</v>
      </c>
    </row>
    <row r="35" spans="1:8" x14ac:dyDescent="0.25">
      <c r="A35">
        <v>1488</v>
      </c>
      <c r="B35" s="5">
        <v>45313</v>
      </c>
      <c r="C35" s="2" t="s">
        <v>12</v>
      </c>
      <c r="D35" s="2" t="s">
        <v>9</v>
      </c>
      <c r="E35" s="2" t="s">
        <v>27</v>
      </c>
      <c r="F35" s="2" t="s">
        <v>56</v>
      </c>
      <c r="G35">
        <v>20919</v>
      </c>
      <c r="H35">
        <v>2103.71</v>
      </c>
    </row>
    <row r="36" spans="1:8" x14ac:dyDescent="0.25">
      <c r="A36">
        <v>1047</v>
      </c>
      <c r="B36" s="5">
        <v>45315</v>
      </c>
      <c r="C36" s="2" t="s">
        <v>12</v>
      </c>
      <c r="D36" s="2" t="s">
        <v>16</v>
      </c>
      <c r="E36" s="2" t="s">
        <v>47</v>
      </c>
      <c r="F36" s="2" t="s">
        <v>65</v>
      </c>
      <c r="G36">
        <v>59243</v>
      </c>
      <c r="H36">
        <v>6378.22</v>
      </c>
    </row>
    <row r="37" spans="1:8" x14ac:dyDescent="0.25">
      <c r="A37">
        <v>1197</v>
      </c>
      <c r="B37" s="5">
        <v>45315</v>
      </c>
      <c r="C37" s="2" t="s">
        <v>12</v>
      </c>
      <c r="D37" s="2" t="s">
        <v>13</v>
      </c>
      <c r="E37" s="2" t="s">
        <v>22</v>
      </c>
      <c r="F37" s="2" t="s">
        <v>109</v>
      </c>
      <c r="G37">
        <v>21721</v>
      </c>
      <c r="H37">
        <v>3205.32</v>
      </c>
    </row>
    <row r="38" spans="1:8" x14ac:dyDescent="0.25">
      <c r="A38">
        <v>1080</v>
      </c>
      <c r="B38" s="5">
        <v>45316</v>
      </c>
      <c r="C38" s="2" t="s">
        <v>12</v>
      </c>
      <c r="D38" s="2" t="s">
        <v>9</v>
      </c>
      <c r="E38" s="2" t="s">
        <v>25</v>
      </c>
      <c r="F38" s="2" t="s">
        <v>37</v>
      </c>
      <c r="G38">
        <v>56140</v>
      </c>
      <c r="H38">
        <v>13069.82</v>
      </c>
    </row>
    <row r="39" spans="1:8" x14ac:dyDescent="0.25">
      <c r="A39">
        <v>1368</v>
      </c>
      <c r="B39" s="5">
        <v>45316</v>
      </c>
      <c r="C39" s="2" t="s">
        <v>31</v>
      </c>
      <c r="D39" s="2" t="s">
        <v>9</v>
      </c>
      <c r="E39" s="2" t="s">
        <v>27</v>
      </c>
      <c r="F39" s="2" t="s">
        <v>30</v>
      </c>
      <c r="G39">
        <v>59450</v>
      </c>
      <c r="H39">
        <v>14310.46</v>
      </c>
    </row>
    <row r="40" spans="1:8" x14ac:dyDescent="0.25">
      <c r="A40">
        <v>1364</v>
      </c>
      <c r="B40" s="5">
        <v>45317</v>
      </c>
      <c r="C40" s="2" t="s">
        <v>31</v>
      </c>
      <c r="D40" s="2" t="s">
        <v>9</v>
      </c>
      <c r="E40" s="2" t="s">
        <v>27</v>
      </c>
      <c r="F40" s="2" t="s">
        <v>34</v>
      </c>
      <c r="G40">
        <v>33489</v>
      </c>
      <c r="H40">
        <v>5116.92</v>
      </c>
    </row>
    <row r="41" spans="1:8" x14ac:dyDescent="0.25">
      <c r="A41">
        <v>1222</v>
      </c>
      <c r="B41" s="5">
        <v>45318</v>
      </c>
      <c r="C41" s="2" t="s">
        <v>8</v>
      </c>
      <c r="D41" s="2" t="s">
        <v>13</v>
      </c>
      <c r="E41" s="2" t="s">
        <v>33</v>
      </c>
      <c r="F41" s="2" t="s">
        <v>110</v>
      </c>
      <c r="G41">
        <v>1753</v>
      </c>
      <c r="H41">
        <v>259.97000000000003</v>
      </c>
    </row>
    <row r="42" spans="1:8" x14ac:dyDescent="0.25">
      <c r="A42">
        <v>1322</v>
      </c>
      <c r="B42" s="5">
        <v>45318</v>
      </c>
      <c r="C42" s="2" t="s">
        <v>8</v>
      </c>
      <c r="D42" s="2" t="s">
        <v>16</v>
      </c>
      <c r="E42" s="2" t="s">
        <v>44</v>
      </c>
      <c r="F42" s="2" t="s">
        <v>58</v>
      </c>
      <c r="G42">
        <v>36516</v>
      </c>
      <c r="H42">
        <v>5927.3</v>
      </c>
    </row>
    <row r="43" spans="1:8" x14ac:dyDescent="0.25">
      <c r="A43">
        <v>1023</v>
      </c>
      <c r="B43" s="5">
        <v>45319</v>
      </c>
      <c r="C43" s="2" t="s">
        <v>12</v>
      </c>
      <c r="D43" s="2" t="s">
        <v>13</v>
      </c>
      <c r="E43" s="2" t="s">
        <v>41</v>
      </c>
      <c r="F43" s="2" t="s">
        <v>32</v>
      </c>
      <c r="G43">
        <v>34356</v>
      </c>
      <c r="H43">
        <v>3155.27</v>
      </c>
    </row>
    <row r="44" spans="1:8" x14ac:dyDescent="0.25">
      <c r="A44">
        <v>1088</v>
      </c>
      <c r="B44" s="5">
        <v>45319</v>
      </c>
      <c r="C44" s="2" t="s">
        <v>12</v>
      </c>
      <c r="D44" s="2" t="s">
        <v>16</v>
      </c>
      <c r="E44" s="2" t="s">
        <v>44</v>
      </c>
      <c r="F44" s="2" t="s">
        <v>92</v>
      </c>
      <c r="G44">
        <v>23618</v>
      </c>
      <c r="H44">
        <v>2834.28</v>
      </c>
    </row>
    <row r="45" spans="1:8" x14ac:dyDescent="0.25">
      <c r="A45">
        <v>1254</v>
      </c>
      <c r="B45" s="5">
        <v>45319</v>
      </c>
      <c r="C45" s="2" t="s">
        <v>8</v>
      </c>
      <c r="D45" s="2" t="s">
        <v>9</v>
      </c>
      <c r="E45" s="2" t="s">
        <v>10</v>
      </c>
      <c r="F45" s="2" t="s">
        <v>79</v>
      </c>
      <c r="G45">
        <v>50033</v>
      </c>
      <c r="H45">
        <v>9170.69</v>
      </c>
    </row>
    <row r="46" spans="1:8" x14ac:dyDescent="0.25">
      <c r="A46">
        <v>1462</v>
      </c>
      <c r="B46" s="5">
        <v>45319</v>
      </c>
      <c r="C46" s="2" t="s">
        <v>12</v>
      </c>
      <c r="D46" s="2" t="s">
        <v>9</v>
      </c>
      <c r="E46" s="2" t="s">
        <v>19</v>
      </c>
      <c r="F46" s="2" t="s">
        <v>58</v>
      </c>
      <c r="G46">
        <v>32181</v>
      </c>
      <c r="H46">
        <v>5910.29</v>
      </c>
    </row>
    <row r="47" spans="1:8" x14ac:dyDescent="0.25">
      <c r="A47">
        <v>1145</v>
      </c>
      <c r="B47" s="5">
        <v>45320</v>
      </c>
      <c r="C47" s="2" t="s">
        <v>31</v>
      </c>
      <c r="D47" s="2" t="s">
        <v>16</v>
      </c>
      <c r="E47" s="2" t="s">
        <v>17</v>
      </c>
      <c r="F47" s="2" t="s">
        <v>82</v>
      </c>
      <c r="G47">
        <v>34852</v>
      </c>
      <c r="H47">
        <v>2485.25</v>
      </c>
    </row>
    <row r="48" spans="1:8" x14ac:dyDescent="0.25">
      <c r="A48">
        <v>1184</v>
      </c>
      <c r="B48" s="5">
        <v>45320</v>
      </c>
      <c r="C48" s="2" t="s">
        <v>8</v>
      </c>
      <c r="D48" s="2" t="s">
        <v>9</v>
      </c>
      <c r="E48" s="2" t="s">
        <v>35</v>
      </c>
      <c r="F48" s="2" t="s">
        <v>111</v>
      </c>
      <c r="G48">
        <v>44695</v>
      </c>
      <c r="H48">
        <v>2738.71</v>
      </c>
    </row>
    <row r="49" spans="1:8" x14ac:dyDescent="0.25">
      <c r="A49">
        <v>1129</v>
      </c>
      <c r="B49" s="5">
        <v>45321</v>
      </c>
      <c r="C49" s="2" t="s">
        <v>12</v>
      </c>
      <c r="D49" s="2" t="s">
        <v>16</v>
      </c>
      <c r="E49" s="2" t="s">
        <v>17</v>
      </c>
      <c r="F49" s="2" t="s">
        <v>63</v>
      </c>
      <c r="G49">
        <v>5725</v>
      </c>
      <c r="H49">
        <v>1116.7</v>
      </c>
    </row>
    <row r="50" spans="1:8" x14ac:dyDescent="0.25">
      <c r="A50">
        <v>1147</v>
      </c>
      <c r="B50" s="5">
        <v>45322</v>
      </c>
      <c r="C50" s="2" t="s">
        <v>8</v>
      </c>
      <c r="D50" s="2" t="s">
        <v>9</v>
      </c>
      <c r="E50" s="2" t="s">
        <v>19</v>
      </c>
      <c r="F50" s="2" t="s">
        <v>74</v>
      </c>
      <c r="G50">
        <v>44742</v>
      </c>
      <c r="H50">
        <v>3210.54</v>
      </c>
    </row>
    <row r="51" spans="1:8" x14ac:dyDescent="0.25">
      <c r="A51">
        <v>1148</v>
      </c>
      <c r="B51" s="5">
        <v>45322</v>
      </c>
      <c r="C51" s="2" t="s">
        <v>8</v>
      </c>
      <c r="D51" s="2" t="s">
        <v>9</v>
      </c>
      <c r="E51" s="2" t="s">
        <v>35</v>
      </c>
      <c r="F51" s="2" t="s">
        <v>23</v>
      </c>
      <c r="G51">
        <v>46685</v>
      </c>
      <c r="H51">
        <v>9326.3799999999992</v>
      </c>
    </row>
    <row r="52" spans="1:8" x14ac:dyDescent="0.25">
      <c r="A52">
        <v>1333</v>
      </c>
      <c r="B52" s="5">
        <v>45323</v>
      </c>
      <c r="C52" s="2" t="s">
        <v>12</v>
      </c>
      <c r="D52" s="2" t="s">
        <v>16</v>
      </c>
      <c r="E52" s="2" t="s">
        <v>71</v>
      </c>
      <c r="F52" s="2" t="s">
        <v>45</v>
      </c>
      <c r="G52">
        <v>23594</v>
      </c>
      <c r="H52">
        <v>3161.06</v>
      </c>
    </row>
    <row r="53" spans="1:8" x14ac:dyDescent="0.25">
      <c r="A53">
        <v>1341</v>
      </c>
      <c r="B53" s="5">
        <v>45323</v>
      </c>
      <c r="C53" s="2" t="s">
        <v>12</v>
      </c>
      <c r="D53" s="2" t="s">
        <v>9</v>
      </c>
      <c r="E53" s="2" t="s">
        <v>27</v>
      </c>
      <c r="F53" s="2" t="s">
        <v>95</v>
      </c>
      <c r="G53">
        <v>48784</v>
      </c>
      <c r="H53">
        <v>7435.2</v>
      </c>
    </row>
    <row r="54" spans="1:8" x14ac:dyDescent="0.25">
      <c r="A54">
        <v>1396</v>
      </c>
      <c r="B54" s="5">
        <v>45323</v>
      </c>
      <c r="C54" s="2" t="s">
        <v>21</v>
      </c>
      <c r="D54" s="2" t="s">
        <v>16</v>
      </c>
      <c r="E54" s="2" t="s">
        <v>71</v>
      </c>
      <c r="F54" s="2" t="s">
        <v>26</v>
      </c>
      <c r="G54">
        <v>26822</v>
      </c>
      <c r="H54">
        <v>3622.37</v>
      </c>
    </row>
    <row r="55" spans="1:8" x14ac:dyDescent="0.25">
      <c r="A55">
        <v>1058</v>
      </c>
      <c r="B55" s="5">
        <v>45324</v>
      </c>
      <c r="C55" s="2" t="s">
        <v>31</v>
      </c>
      <c r="D55" s="2" t="s">
        <v>16</v>
      </c>
      <c r="E55" s="2" t="s">
        <v>17</v>
      </c>
      <c r="F55" s="2" t="s">
        <v>75</v>
      </c>
      <c r="G55">
        <v>26427</v>
      </c>
      <c r="H55">
        <v>5020.2299999999996</v>
      </c>
    </row>
    <row r="56" spans="1:8" x14ac:dyDescent="0.25">
      <c r="A56">
        <v>1169</v>
      </c>
      <c r="B56" s="5">
        <v>45324</v>
      </c>
      <c r="C56" s="2" t="s">
        <v>21</v>
      </c>
      <c r="D56" s="2" t="s">
        <v>9</v>
      </c>
      <c r="E56" s="2" t="s">
        <v>25</v>
      </c>
      <c r="F56" s="2" t="s">
        <v>23</v>
      </c>
      <c r="G56">
        <v>884</v>
      </c>
      <c r="H56">
        <v>194.37</v>
      </c>
    </row>
    <row r="57" spans="1:8" x14ac:dyDescent="0.25">
      <c r="A57">
        <v>1332</v>
      </c>
      <c r="B57" s="5">
        <v>45324</v>
      </c>
      <c r="C57" s="2" t="s">
        <v>12</v>
      </c>
      <c r="D57" s="2" t="s">
        <v>9</v>
      </c>
      <c r="E57" s="2" t="s">
        <v>27</v>
      </c>
      <c r="F57" s="2" t="s">
        <v>125</v>
      </c>
      <c r="G57">
        <v>56341</v>
      </c>
      <c r="H57">
        <v>9976.18</v>
      </c>
    </row>
    <row r="58" spans="1:8" x14ac:dyDescent="0.25">
      <c r="A58">
        <v>1443</v>
      </c>
      <c r="B58" s="5">
        <v>45324</v>
      </c>
      <c r="C58" s="2" t="s">
        <v>8</v>
      </c>
      <c r="D58" s="2" t="s">
        <v>13</v>
      </c>
      <c r="E58" s="2" t="s">
        <v>22</v>
      </c>
      <c r="F58" s="2" t="s">
        <v>72</v>
      </c>
      <c r="G58">
        <v>39420</v>
      </c>
      <c r="H58">
        <v>2121.12</v>
      </c>
    </row>
    <row r="59" spans="1:8" x14ac:dyDescent="0.25">
      <c r="A59">
        <v>1039</v>
      </c>
      <c r="B59" s="5">
        <v>45326</v>
      </c>
      <c r="C59" s="2" t="s">
        <v>31</v>
      </c>
      <c r="D59" s="2" t="s">
        <v>16</v>
      </c>
      <c r="E59" s="2" t="s">
        <v>44</v>
      </c>
      <c r="F59" s="2" t="s">
        <v>61</v>
      </c>
      <c r="G59">
        <v>16802</v>
      </c>
      <c r="H59">
        <v>1416.11</v>
      </c>
    </row>
    <row r="60" spans="1:8" x14ac:dyDescent="0.25">
      <c r="A60">
        <v>1163</v>
      </c>
      <c r="B60" s="5">
        <v>45326</v>
      </c>
      <c r="C60" s="2" t="s">
        <v>12</v>
      </c>
      <c r="D60" s="2" t="s">
        <v>13</v>
      </c>
      <c r="E60" s="2" t="s">
        <v>29</v>
      </c>
      <c r="F60" s="2" t="s">
        <v>28</v>
      </c>
      <c r="G60">
        <v>27139</v>
      </c>
      <c r="H60">
        <v>1380.2</v>
      </c>
    </row>
    <row r="61" spans="1:8" x14ac:dyDescent="0.25">
      <c r="A61">
        <v>1102</v>
      </c>
      <c r="B61" s="5">
        <v>45327</v>
      </c>
      <c r="C61" s="2" t="s">
        <v>31</v>
      </c>
      <c r="D61" s="2" t="s">
        <v>13</v>
      </c>
      <c r="E61" s="2" t="s">
        <v>14</v>
      </c>
      <c r="F61" s="2" t="s">
        <v>49</v>
      </c>
      <c r="G61">
        <v>41991</v>
      </c>
      <c r="H61">
        <v>9703.89</v>
      </c>
    </row>
    <row r="62" spans="1:8" x14ac:dyDescent="0.25">
      <c r="A62">
        <v>1018</v>
      </c>
      <c r="B62" s="5">
        <v>45328</v>
      </c>
      <c r="C62" s="2" t="s">
        <v>21</v>
      </c>
      <c r="D62" s="2" t="s">
        <v>13</v>
      </c>
      <c r="E62" s="2" t="s">
        <v>33</v>
      </c>
      <c r="F62" s="2" t="s">
        <v>43</v>
      </c>
      <c r="G62">
        <v>36121</v>
      </c>
      <c r="H62">
        <v>5050.2700000000004</v>
      </c>
    </row>
    <row r="63" spans="1:8" x14ac:dyDescent="0.25">
      <c r="A63">
        <v>1084</v>
      </c>
      <c r="B63" s="5">
        <v>45328</v>
      </c>
      <c r="C63" s="2" t="s">
        <v>12</v>
      </c>
      <c r="D63" s="2" t="s">
        <v>16</v>
      </c>
      <c r="E63" s="2" t="s">
        <v>47</v>
      </c>
      <c r="F63" s="2" t="s">
        <v>88</v>
      </c>
      <c r="G63">
        <v>10060</v>
      </c>
      <c r="H63">
        <v>1854.15</v>
      </c>
    </row>
    <row r="64" spans="1:8" x14ac:dyDescent="0.25">
      <c r="A64">
        <v>1470</v>
      </c>
      <c r="B64" s="5">
        <v>45328</v>
      </c>
      <c r="C64" s="2" t="s">
        <v>12</v>
      </c>
      <c r="D64" s="2" t="s">
        <v>9</v>
      </c>
      <c r="E64" s="2" t="s">
        <v>35</v>
      </c>
      <c r="F64" s="2" t="s">
        <v>94</v>
      </c>
      <c r="G64">
        <v>3125</v>
      </c>
      <c r="H64">
        <v>579.23</v>
      </c>
    </row>
    <row r="65" spans="1:8" x14ac:dyDescent="0.25">
      <c r="A65">
        <v>1356</v>
      </c>
      <c r="B65" s="5">
        <v>45329</v>
      </c>
      <c r="C65" s="2" t="s">
        <v>31</v>
      </c>
      <c r="D65" s="2" t="s">
        <v>9</v>
      </c>
      <c r="E65" s="2" t="s">
        <v>35</v>
      </c>
      <c r="F65" s="2" t="s">
        <v>100</v>
      </c>
      <c r="G65">
        <v>33201</v>
      </c>
      <c r="H65">
        <v>6169.41</v>
      </c>
    </row>
    <row r="66" spans="1:8" x14ac:dyDescent="0.25">
      <c r="A66">
        <v>1033</v>
      </c>
      <c r="B66" s="5">
        <v>45330</v>
      </c>
      <c r="C66" s="2" t="s">
        <v>8</v>
      </c>
      <c r="D66" s="2" t="s">
        <v>9</v>
      </c>
      <c r="E66" s="2" t="s">
        <v>35</v>
      </c>
      <c r="F66" s="2" t="s">
        <v>55</v>
      </c>
      <c r="G66">
        <v>11238</v>
      </c>
      <c r="H66">
        <v>1023.85</v>
      </c>
    </row>
    <row r="67" spans="1:8" x14ac:dyDescent="0.25">
      <c r="A67">
        <v>1015</v>
      </c>
      <c r="B67" s="5">
        <v>45331</v>
      </c>
      <c r="C67" s="2" t="s">
        <v>12</v>
      </c>
      <c r="D67" s="2" t="s">
        <v>13</v>
      </c>
      <c r="E67" s="2" t="s">
        <v>33</v>
      </c>
      <c r="F67" s="2" t="s">
        <v>39</v>
      </c>
      <c r="G67">
        <v>46511</v>
      </c>
      <c r="H67">
        <v>7880.66</v>
      </c>
    </row>
    <row r="68" spans="1:8" x14ac:dyDescent="0.25">
      <c r="A68">
        <v>1300</v>
      </c>
      <c r="B68" s="5">
        <v>45331</v>
      </c>
      <c r="C68" s="2" t="s">
        <v>12</v>
      </c>
      <c r="D68" s="2" t="s">
        <v>13</v>
      </c>
      <c r="E68" s="2" t="s">
        <v>22</v>
      </c>
      <c r="F68" s="2" t="s">
        <v>43</v>
      </c>
      <c r="G68">
        <v>38315</v>
      </c>
      <c r="H68">
        <v>8871.69</v>
      </c>
    </row>
    <row r="69" spans="1:8" x14ac:dyDescent="0.25">
      <c r="A69">
        <v>1484</v>
      </c>
      <c r="B69" s="5">
        <v>45331</v>
      </c>
      <c r="C69" s="2" t="s">
        <v>21</v>
      </c>
      <c r="D69" s="2" t="s">
        <v>9</v>
      </c>
      <c r="E69" s="2" t="s">
        <v>25</v>
      </c>
      <c r="F69" s="2" t="s">
        <v>89</v>
      </c>
      <c r="G69">
        <v>59431</v>
      </c>
      <c r="H69">
        <v>12321.95</v>
      </c>
    </row>
    <row r="70" spans="1:8" x14ac:dyDescent="0.25">
      <c r="A70">
        <v>1303</v>
      </c>
      <c r="B70" s="5">
        <v>45332</v>
      </c>
      <c r="C70" s="2" t="s">
        <v>8</v>
      </c>
      <c r="D70" s="2" t="s">
        <v>16</v>
      </c>
      <c r="E70" s="2" t="s">
        <v>71</v>
      </c>
      <c r="F70" s="2" t="s">
        <v>59</v>
      </c>
      <c r="G70">
        <v>38618</v>
      </c>
      <c r="H70">
        <v>8442.77</v>
      </c>
    </row>
    <row r="71" spans="1:8" x14ac:dyDescent="0.25">
      <c r="A71">
        <v>1132</v>
      </c>
      <c r="B71" s="5">
        <v>45333</v>
      </c>
      <c r="C71" s="2" t="s">
        <v>12</v>
      </c>
      <c r="D71" s="2" t="s">
        <v>13</v>
      </c>
      <c r="E71" s="2" t="s">
        <v>22</v>
      </c>
      <c r="F71" s="2" t="s">
        <v>104</v>
      </c>
      <c r="G71">
        <v>28951</v>
      </c>
      <c r="H71">
        <v>4550.2</v>
      </c>
    </row>
    <row r="72" spans="1:8" x14ac:dyDescent="0.25">
      <c r="A72">
        <v>1131</v>
      </c>
      <c r="B72" s="5">
        <v>45334</v>
      </c>
      <c r="C72" s="2" t="s">
        <v>31</v>
      </c>
      <c r="D72" s="2" t="s">
        <v>16</v>
      </c>
      <c r="E72" s="2" t="s">
        <v>66</v>
      </c>
      <c r="F72" s="2" t="s">
        <v>36</v>
      </c>
      <c r="G72">
        <v>24749</v>
      </c>
      <c r="H72">
        <v>4502.28</v>
      </c>
    </row>
    <row r="73" spans="1:8" x14ac:dyDescent="0.25">
      <c r="A73">
        <v>1404</v>
      </c>
      <c r="B73" s="5">
        <v>45334</v>
      </c>
      <c r="C73" s="2" t="s">
        <v>12</v>
      </c>
      <c r="D73" s="2" t="s">
        <v>13</v>
      </c>
      <c r="E73" s="2" t="s">
        <v>29</v>
      </c>
      <c r="F73" s="2" t="s">
        <v>87</v>
      </c>
      <c r="G73">
        <v>36229</v>
      </c>
      <c r="H73">
        <v>4094.75</v>
      </c>
    </row>
    <row r="74" spans="1:8" x14ac:dyDescent="0.25">
      <c r="A74">
        <v>1384</v>
      </c>
      <c r="B74" s="5">
        <v>45335</v>
      </c>
      <c r="C74" s="2" t="s">
        <v>12</v>
      </c>
      <c r="D74" s="2" t="s">
        <v>13</v>
      </c>
      <c r="E74" s="2" t="s">
        <v>33</v>
      </c>
      <c r="F74" s="2" t="s">
        <v>106</v>
      </c>
      <c r="G74">
        <v>58277</v>
      </c>
      <c r="H74">
        <v>3461.39</v>
      </c>
    </row>
    <row r="75" spans="1:8" x14ac:dyDescent="0.25">
      <c r="A75">
        <v>1045</v>
      </c>
      <c r="B75" s="5">
        <v>45336</v>
      </c>
      <c r="C75" s="2" t="s">
        <v>21</v>
      </c>
      <c r="D75" s="2" t="s">
        <v>13</v>
      </c>
      <c r="E75" s="2" t="s">
        <v>41</v>
      </c>
      <c r="F75" s="2" t="s">
        <v>65</v>
      </c>
      <c r="G75">
        <v>23714</v>
      </c>
      <c r="H75">
        <v>2215.31</v>
      </c>
    </row>
    <row r="76" spans="1:8" x14ac:dyDescent="0.25">
      <c r="A76">
        <v>1347</v>
      </c>
      <c r="B76" s="5">
        <v>45336</v>
      </c>
      <c r="C76" s="2" t="s">
        <v>21</v>
      </c>
      <c r="D76" s="2" t="s">
        <v>16</v>
      </c>
      <c r="E76" s="2" t="s">
        <v>17</v>
      </c>
      <c r="F76" s="2" t="s">
        <v>125</v>
      </c>
      <c r="G76">
        <v>5772</v>
      </c>
      <c r="H76">
        <v>1288.18</v>
      </c>
    </row>
    <row r="77" spans="1:8" x14ac:dyDescent="0.25">
      <c r="A77">
        <v>1071</v>
      </c>
      <c r="B77" s="5">
        <v>45337</v>
      </c>
      <c r="C77" s="2" t="s">
        <v>21</v>
      </c>
      <c r="D77" s="2" t="s">
        <v>16</v>
      </c>
      <c r="E77" s="2" t="s">
        <v>44</v>
      </c>
      <c r="F77" s="2" t="s">
        <v>82</v>
      </c>
      <c r="G77">
        <v>1118</v>
      </c>
      <c r="H77">
        <v>246.49</v>
      </c>
    </row>
    <row r="78" spans="1:8" x14ac:dyDescent="0.25">
      <c r="A78">
        <v>1138</v>
      </c>
      <c r="B78" s="5">
        <v>45337</v>
      </c>
      <c r="C78" s="2" t="s">
        <v>8</v>
      </c>
      <c r="D78" s="2" t="s">
        <v>13</v>
      </c>
      <c r="E78" s="2" t="s">
        <v>29</v>
      </c>
      <c r="F78" s="2" t="s">
        <v>107</v>
      </c>
      <c r="G78">
        <v>56720</v>
      </c>
      <c r="H78">
        <v>7886.67</v>
      </c>
    </row>
    <row r="79" spans="1:8" x14ac:dyDescent="0.25">
      <c r="A79">
        <v>1224</v>
      </c>
      <c r="B79" s="5">
        <v>45337</v>
      </c>
      <c r="C79" s="2" t="s">
        <v>31</v>
      </c>
      <c r="D79" s="2" t="s">
        <v>13</v>
      </c>
      <c r="E79" s="2" t="s">
        <v>41</v>
      </c>
      <c r="F79" s="2" t="s">
        <v>116</v>
      </c>
      <c r="G79">
        <v>45098</v>
      </c>
      <c r="H79">
        <v>5588.34</v>
      </c>
    </row>
    <row r="80" spans="1:8" x14ac:dyDescent="0.25">
      <c r="A80">
        <v>1249</v>
      </c>
      <c r="B80" s="5">
        <v>45338</v>
      </c>
      <c r="C80" s="2" t="s">
        <v>31</v>
      </c>
      <c r="D80" s="2" t="s">
        <v>13</v>
      </c>
      <c r="E80" s="2" t="s">
        <v>41</v>
      </c>
      <c r="F80" s="2" t="s">
        <v>15</v>
      </c>
      <c r="G80">
        <v>50439</v>
      </c>
      <c r="H80">
        <v>4509.29</v>
      </c>
    </row>
    <row r="81" spans="1:8" x14ac:dyDescent="0.25">
      <c r="A81">
        <v>1187</v>
      </c>
      <c r="B81" s="5">
        <v>45340</v>
      </c>
      <c r="C81" s="2" t="s">
        <v>8</v>
      </c>
      <c r="D81" s="2" t="s">
        <v>16</v>
      </c>
      <c r="E81" s="2" t="s">
        <v>66</v>
      </c>
      <c r="F81" s="2" t="s">
        <v>11</v>
      </c>
      <c r="G81">
        <v>52465</v>
      </c>
      <c r="H81">
        <v>9514.64</v>
      </c>
    </row>
    <row r="82" spans="1:8" x14ac:dyDescent="0.25">
      <c r="A82">
        <v>1209</v>
      </c>
      <c r="B82" s="5">
        <v>45341</v>
      </c>
      <c r="C82" s="2" t="s">
        <v>21</v>
      </c>
      <c r="D82" s="2" t="s">
        <v>16</v>
      </c>
      <c r="E82" s="2" t="s">
        <v>17</v>
      </c>
      <c r="F82" s="2" t="s">
        <v>11</v>
      </c>
      <c r="G82">
        <v>26524</v>
      </c>
      <c r="H82">
        <v>4172.67</v>
      </c>
    </row>
    <row r="83" spans="1:8" x14ac:dyDescent="0.25">
      <c r="A83">
        <v>1453</v>
      </c>
      <c r="B83" s="5">
        <v>45341</v>
      </c>
      <c r="C83" s="2" t="s">
        <v>8</v>
      </c>
      <c r="D83" s="2" t="s">
        <v>9</v>
      </c>
      <c r="E83" s="2" t="s">
        <v>10</v>
      </c>
      <c r="F83" s="2" t="s">
        <v>127</v>
      </c>
      <c r="G83">
        <v>26571</v>
      </c>
      <c r="H83">
        <v>3092.34</v>
      </c>
    </row>
    <row r="84" spans="1:8" x14ac:dyDescent="0.25">
      <c r="A84">
        <v>1117</v>
      </c>
      <c r="B84" s="5">
        <v>45342</v>
      </c>
      <c r="C84" s="2" t="s">
        <v>8</v>
      </c>
      <c r="D84" s="2" t="s">
        <v>16</v>
      </c>
      <c r="E84" s="2" t="s">
        <v>66</v>
      </c>
      <c r="F84" s="2" t="s">
        <v>79</v>
      </c>
      <c r="G84">
        <v>52279</v>
      </c>
      <c r="H84">
        <v>11199.03</v>
      </c>
    </row>
    <row r="85" spans="1:8" x14ac:dyDescent="0.25">
      <c r="A85">
        <v>1401</v>
      </c>
      <c r="B85" s="5">
        <v>45343</v>
      </c>
      <c r="C85" s="2" t="s">
        <v>8</v>
      </c>
      <c r="D85" s="2" t="s">
        <v>9</v>
      </c>
      <c r="E85" s="2" t="s">
        <v>35</v>
      </c>
      <c r="F85" s="2" t="s">
        <v>15</v>
      </c>
      <c r="G85">
        <v>27564</v>
      </c>
      <c r="H85">
        <v>2418.8000000000002</v>
      </c>
    </row>
    <row r="86" spans="1:8" x14ac:dyDescent="0.25">
      <c r="A86">
        <v>1100</v>
      </c>
      <c r="B86" s="5">
        <v>45344</v>
      </c>
      <c r="C86" s="2" t="s">
        <v>12</v>
      </c>
      <c r="D86" s="2" t="s">
        <v>9</v>
      </c>
      <c r="E86" s="2" t="s">
        <v>19</v>
      </c>
      <c r="F86" s="2" t="s">
        <v>77</v>
      </c>
      <c r="G86">
        <v>23021</v>
      </c>
      <c r="H86">
        <v>4109.05</v>
      </c>
    </row>
    <row r="87" spans="1:8" x14ac:dyDescent="0.25">
      <c r="A87">
        <v>1103</v>
      </c>
      <c r="B87" s="5">
        <v>45345</v>
      </c>
      <c r="C87" s="2" t="s">
        <v>31</v>
      </c>
      <c r="D87" s="2" t="s">
        <v>9</v>
      </c>
      <c r="E87" s="2" t="s">
        <v>27</v>
      </c>
      <c r="F87" s="2" t="s">
        <v>53</v>
      </c>
      <c r="G87">
        <v>45408</v>
      </c>
      <c r="H87">
        <v>2567.09</v>
      </c>
    </row>
    <row r="88" spans="1:8" x14ac:dyDescent="0.25">
      <c r="A88">
        <v>1056</v>
      </c>
      <c r="B88" s="5">
        <v>45348</v>
      </c>
      <c r="C88" s="2" t="s">
        <v>21</v>
      </c>
      <c r="D88" s="2" t="s">
        <v>16</v>
      </c>
      <c r="E88" s="2" t="s">
        <v>17</v>
      </c>
      <c r="F88" s="2" t="s">
        <v>73</v>
      </c>
      <c r="G88">
        <v>2832</v>
      </c>
      <c r="H88">
        <v>423.76</v>
      </c>
    </row>
    <row r="89" spans="1:8" x14ac:dyDescent="0.25">
      <c r="A89">
        <v>1285</v>
      </c>
      <c r="B89" s="5">
        <v>45348</v>
      </c>
      <c r="C89" s="2" t="s">
        <v>8</v>
      </c>
      <c r="D89" s="2" t="s">
        <v>9</v>
      </c>
      <c r="E89" s="2" t="s">
        <v>25</v>
      </c>
      <c r="F89" s="2" t="s">
        <v>67</v>
      </c>
      <c r="G89">
        <v>25076</v>
      </c>
      <c r="H89">
        <v>4282.53</v>
      </c>
    </row>
    <row r="90" spans="1:8" x14ac:dyDescent="0.25">
      <c r="A90">
        <v>1335</v>
      </c>
      <c r="B90" s="5">
        <v>45348</v>
      </c>
      <c r="C90" s="2" t="s">
        <v>12</v>
      </c>
      <c r="D90" s="2" t="s">
        <v>9</v>
      </c>
      <c r="E90" s="2" t="s">
        <v>27</v>
      </c>
      <c r="F90" s="2" t="s">
        <v>54</v>
      </c>
      <c r="G90">
        <v>21293</v>
      </c>
      <c r="H90">
        <v>2725.41</v>
      </c>
    </row>
    <row r="91" spans="1:8" x14ac:dyDescent="0.25">
      <c r="A91">
        <v>1487</v>
      </c>
      <c r="B91" s="5">
        <v>45348</v>
      </c>
      <c r="C91" s="2" t="s">
        <v>8</v>
      </c>
      <c r="D91" s="2" t="s">
        <v>9</v>
      </c>
      <c r="E91" s="2" t="s">
        <v>19</v>
      </c>
      <c r="F91" s="2" t="s">
        <v>30</v>
      </c>
      <c r="G91">
        <v>41671</v>
      </c>
      <c r="H91">
        <v>4650.8999999999996</v>
      </c>
    </row>
    <row r="92" spans="1:8" x14ac:dyDescent="0.25">
      <c r="A92">
        <v>1096</v>
      </c>
      <c r="B92" s="5">
        <v>45349</v>
      </c>
      <c r="C92" s="2" t="s">
        <v>21</v>
      </c>
      <c r="D92" s="2" t="s">
        <v>9</v>
      </c>
      <c r="E92" s="2" t="s">
        <v>27</v>
      </c>
      <c r="F92" s="2" t="s">
        <v>73</v>
      </c>
      <c r="G92">
        <v>51263</v>
      </c>
      <c r="H92">
        <v>8397.6299999999992</v>
      </c>
    </row>
    <row r="93" spans="1:8" x14ac:dyDescent="0.25">
      <c r="A93">
        <v>1264</v>
      </c>
      <c r="B93" s="5">
        <v>45349</v>
      </c>
      <c r="C93" s="2" t="s">
        <v>8</v>
      </c>
      <c r="D93" s="2" t="s">
        <v>13</v>
      </c>
      <c r="E93" s="2" t="s">
        <v>33</v>
      </c>
      <c r="F93" s="2" t="s">
        <v>89</v>
      </c>
      <c r="G93">
        <v>44203</v>
      </c>
      <c r="H93">
        <v>4340.57</v>
      </c>
    </row>
    <row r="94" spans="1:8" x14ac:dyDescent="0.25">
      <c r="A94">
        <v>1282</v>
      </c>
      <c r="B94" s="5">
        <v>45349</v>
      </c>
      <c r="C94" s="2" t="s">
        <v>12</v>
      </c>
      <c r="D94" s="2" t="s">
        <v>9</v>
      </c>
      <c r="E94" s="2" t="s">
        <v>25</v>
      </c>
      <c r="F94" s="2" t="s">
        <v>103</v>
      </c>
      <c r="G94">
        <v>24709</v>
      </c>
      <c r="H94">
        <v>3645.62</v>
      </c>
    </row>
    <row r="95" spans="1:8" x14ac:dyDescent="0.25">
      <c r="A95">
        <v>1482</v>
      </c>
      <c r="B95" s="5">
        <v>45350</v>
      </c>
      <c r="C95" s="2" t="s">
        <v>31</v>
      </c>
      <c r="D95" s="2" t="s">
        <v>16</v>
      </c>
      <c r="E95" s="2" t="s">
        <v>47</v>
      </c>
      <c r="F95" s="2" t="s">
        <v>79</v>
      </c>
      <c r="G95">
        <v>44583</v>
      </c>
      <c r="H95">
        <v>10378.11</v>
      </c>
    </row>
    <row r="96" spans="1:8" hidden="1" x14ac:dyDescent="0.25">
      <c r="A96">
        <v>1035</v>
      </c>
      <c r="B96" s="5">
        <v>45351</v>
      </c>
      <c r="C96" s="2" t="s">
        <v>21</v>
      </c>
      <c r="D96" s="2" t="s">
        <v>13</v>
      </c>
      <c r="E96" s="2" t="s">
        <v>29</v>
      </c>
      <c r="F96" s="2" t="s">
        <v>57</v>
      </c>
      <c r="G96">
        <v>10690</v>
      </c>
      <c r="H96">
        <v>2343.5</v>
      </c>
    </row>
    <row r="97" spans="1:8" hidden="1" x14ac:dyDescent="0.25">
      <c r="A97">
        <v>1266</v>
      </c>
      <c r="B97" s="5">
        <v>45351</v>
      </c>
      <c r="C97" s="2" t="s">
        <v>8</v>
      </c>
      <c r="D97" s="2" t="s">
        <v>9</v>
      </c>
      <c r="E97" s="2" t="s">
        <v>35</v>
      </c>
      <c r="F97" s="2" t="s">
        <v>74</v>
      </c>
      <c r="G97">
        <v>56843</v>
      </c>
      <c r="H97">
        <v>6558.66</v>
      </c>
    </row>
    <row r="98" spans="1:8" x14ac:dyDescent="0.25">
      <c r="A98">
        <v>1395</v>
      </c>
      <c r="B98" s="5">
        <v>45352</v>
      </c>
      <c r="C98" s="2" t="s">
        <v>31</v>
      </c>
      <c r="D98" s="2" t="s">
        <v>13</v>
      </c>
      <c r="E98" s="2" t="s">
        <v>33</v>
      </c>
      <c r="F98" s="2" t="s">
        <v>87</v>
      </c>
      <c r="G98">
        <v>24567</v>
      </c>
      <c r="H98">
        <v>4416.72</v>
      </c>
    </row>
    <row r="99" spans="1:8" x14ac:dyDescent="0.25">
      <c r="A99">
        <v>1394</v>
      </c>
      <c r="B99" s="5">
        <v>45354</v>
      </c>
      <c r="C99" s="2" t="s">
        <v>31</v>
      </c>
      <c r="D99" s="2" t="s">
        <v>13</v>
      </c>
      <c r="E99" s="2" t="s">
        <v>22</v>
      </c>
      <c r="F99" s="2" t="s">
        <v>28</v>
      </c>
      <c r="G99">
        <v>50944</v>
      </c>
      <c r="H99">
        <v>9229.6200000000008</v>
      </c>
    </row>
    <row r="100" spans="1:8" x14ac:dyDescent="0.25">
      <c r="A100">
        <v>1214</v>
      </c>
      <c r="B100" s="5">
        <v>45355</v>
      </c>
      <c r="C100" s="2" t="s">
        <v>31</v>
      </c>
      <c r="D100" s="2" t="s">
        <v>13</v>
      </c>
      <c r="E100" s="2" t="s">
        <v>41</v>
      </c>
      <c r="F100" s="2" t="s">
        <v>76</v>
      </c>
      <c r="G100">
        <v>32288</v>
      </c>
      <c r="H100">
        <v>7637.75</v>
      </c>
    </row>
    <row r="101" spans="1:8" x14ac:dyDescent="0.25">
      <c r="A101">
        <v>1253</v>
      </c>
      <c r="B101" s="5">
        <v>45355</v>
      </c>
      <c r="C101" s="2" t="s">
        <v>8</v>
      </c>
      <c r="D101" s="2" t="s">
        <v>13</v>
      </c>
      <c r="E101" s="2" t="s">
        <v>29</v>
      </c>
      <c r="F101" s="2" t="s">
        <v>86</v>
      </c>
      <c r="G101">
        <v>25511</v>
      </c>
      <c r="H101">
        <v>3769.5</v>
      </c>
    </row>
    <row r="102" spans="1:8" x14ac:dyDescent="0.25">
      <c r="A102">
        <v>1367</v>
      </c>
      <c r="B102" s="5">
        <v>45355</v>
      </c>
      <c r="C102" s="2" t="s">
        <v>8</v>
      </c>
      <c r="D102" s="2" t="s">
        <v>16</v>
      </c>
      <c r="E102" s="2" t="s">
        <v>17</v>
      </c>
      <c r="F102" s="2" t="s">
        <v>42</v>
      </c>
      <c r="G102">
        <v>48819</v>
      </c>
      <c r="H102">
        <v>6640.57</v>
      </c>
    </row>
    <row r="103" spans="1:8" x14ac:dyDescent="0.25">
      <c r="A103">
        <v>1373</v>
      </c>
      <c r="B103" s="5">
        <v>45355</v>
      </c>
      <c r="C103" s="2" t="s">
        <v>12</v>
      </c>
      <c r="D103" s="2" t="s">
        <v>9</v>
      </c>
      <c r="E103" s="2" t="s">
        <v>19</v>
      </c>
      <c r="F103" s="2" t="s">
        <v>72</v>
      </c>
      <c r="G103">
        <v>2714</v>
      </c>
      <c r="H103">
        <v>358.35</v>
      </c>
    </row>
    <row r="104" spans="1:8" x14ac:dyDescent="0.25">
      <c r="A104">
        <v>1245</v>
      </c>
      <c r="B104" s="5">
        <v>45356</v>
      </c>
      <c r="C104" s="2" t="s">
        <v>8</v>
      </c>
      <c r="D104" s="2" t="s">
        <v>16</v>
      </c>
      <c r="E104" s="2" t="s">
        <v>66</v>
      </c>
      <c r="F104" s="2" t="s">
        <v>118</v>
      </c>
      <c r="G104">
        <v>36492</v>
      </c>
      <c r="H104">
        <v>8494.91</v>
      </c>
    </row>
    <row r="105" spans="1:8" x14ac:dyDescent="0.25">
      <c r="A105">
        <v>1319</v>
      </c>
      <c r="B105" s="5">
        <v>45356</v>
      </c>
      <c r="C105" s="2" t="s">
        <v>31</v>
      </c>
      <c r="D105" s="2" t="s">
        <v>9</v>
      </c>
      <c r="E105" s="2" t="s">
        <v>25</v>
      </c>
      <c r="F105" s="2" t="s">
        <v>18</v>
      </c>
      <c r="G105">
        <v>57136</v>
      </c>
      <c r="H105">
        <v>12283.19</v>
      </c>
    </row>
    <row r="106" spans="1:8" x14ac:dyDescent="0.25">
      <c r="A106">
        <v>1238</v>
      </c>
      <c r="B106" s="5">
        <v>45357</v>
      </c>
      <c r="C106" s="2" t="s">
        <v>12</v>
      </c>
      <c r="D106" s="2" t="s">
        <v>13</v>
      </c>
      <c r="E106" s="2" t="s">
        <v>29</v>
      </c>
      <c r="F106" s="2" t="s">
        <v>15</v>
      </c>
      <c r="G106">
        <v>27675</v>
      </c>
      <c r="H106">
        <v>4560.07</v>
      </c>
    </row>
    <row r="107" spans="1:8" x14ac:dyDescent="0.25">
      <c r="A107">
        <v>1377</v>
      </c>
      <c r="B107" s="5">
        <v>45357</v>
      </c>
      <c r="C107" s="2" t="s">
        <v>31</v>
      </c>
      <c r="D107" s="2" t="s">
        <v>13</v>
      </c>
      <c r="E107" s="2" t="s">
        <v>33</v>
      </c>
      <c r="F107" s="2" t="s">
        <v>48</v>
      </c>
      <c r="G107">
        <v>48159</v>
      </c>
      <c r="H107">
        <v>4654.79</v>
      </c>
    </row>
    <row r="108" spans="1:8" x14ac:dyDescent="0.25">
      <c r="A108">
        <v>1375</v>
      </c>
      <c r="B108" s="5">
        <v>45358</v>
      </c>
      <c r="C108" s="2" t="s">
        <v>8</v>
      </c>
      <c r="D108" s="2" t="s">
        <v>16</v>
      </c>
      <c r="E108" s="2" t="s">
        <v>66</v>
      </c>
      <c r="F108" s="2" t="s">
        <v>92</v>
      </c>
      <c r="G108">
        <v>38165</v>
      </c>
      <c r="H108">
        <v>6104.26</v>
      </c>
    </row>
    <row r="109" spans="1:8" x14ac:dyDescent="0.25">
      <c r="A109">
        <v>1087</v>
      </c>
      <c r="B109" s="5">
        <v>45359</v>
      </c>
      <c r="C109" s="2" t="s">
        <v>21</v>
      </c>
      <c r="D109" s="2" t="s">
        <v>9</v>
      </c>
      <c r="E109" s="2" t="s">
        <v>19</v>
      </c>
      <c r="F109" s="2" t="s">
        <v>91</v>
      </c>
      <c r="G109">
        <v>20610</v>
      </c>
      <c r="H109">
        <v>4546.68</v>
      </c>
    </row>
    <row r="110" spans="1:8" x14ac:dyDescent="0.25">
      <c r="A110">
        <v>1196</v>
      </c>
      <c r="B110" s="5">
        <v>45359</v>
      </c>
      <c r="C110" s="2" t="s">
        <v>8</v>
      </c>
      <c r="D110" s="2" t="s">
        <v>16</v>
      </c>
      <c r="E110" s="2" t="s">
        <v>71</v>
      </c>
      <c r="F110" s="2" t="s">
        <v>87</v>
      </c>
      <c r="G110">
        <v>55861</v>
      </c>
      <c r="H110">
        <v>13286.11</v>
      </c>
    </row>
    <row r="111" spans="1:8" x14ac:dyDescent="0.25">
      <c r="A111">
        <v>1051</v>
      </c>
      <c r="B111" s="5">
        <v>45360</v>
      </c>
      <c r="C111" s="2" t="s">
        <v>8</v>
      </c>
      <c r="D111" s="2" t="s">
        <v>9</v>
      </c>
      <c r="E111" s="2" t="s">
        <v>19</v>
      </c>
      <c r="F111" s="2" t="s">
        <v>62</v>
      </c>
      <c r="G111">
        <v>51408</v>
      </c>
      <c r="H111">
        <v>6103.69</v>
      </c>
    </row>
    <row r="112" spans="1:8" x14ac:dyDescent="0.25">
      <c r="A112">
        <v>1255</v>
      </c>
      <c r="B112" s="5">
        <v>45360</v>
      </c>
      <c r="C112" s="2" t="s">
        <v>21</v>
      </c>
      <c r="D112" s="2" t="s">
        <v>9</v>
      </c>
      <c r="E112" s="2" t="s">
        <v>27</v>
      </c>
      <c r="F112" s="2" t="s">
        <v>109</v>
      </c>
      <c r="G112">
        <v>49500</v>
      </c>
      <c r="H112">
        <v>12081.91</v>
      </c>
    </row>
    <row r="113" spans="1:8" x14ac:dyDescent="0.25">
      <c r="A113">
        <v>1326</v>
      </c>
      <c r="B113" s="5">
        <v>45360</v>
      </c>
      <c r="C113" s="2" t="s">
        <v>8</v>
      </c>
      <c r="D113" s="2" t="s">
        <v>9</v>
      </c>
      <c r="E113" s="2" t="s">
        <v>10</v>
      </c>
      <c r="F113" s="2" t="s">
        <v>37</v>
      </c>
      <c r="G113">
        <v>52083</v>
      </c>
      <c r="H113">
        <v>3861.34</v>
      </c>
    </row>
    <row r="114" spans="1:8" x14ac:dyDescent="0.25">
      <c r="A114">
        <v>1041</v>
      </c>
      <c r="B114" s="5">
        <v>45361</v>
      </c>
      <c r="C114" s="2" t="s">
        <v>31</v>
      </c>
      <c r="D114" s="2" t="s">
        <v>9</v>
      </c>
      <c r="E114" s="2" t="s">
        <v>25</v>
      </c>
      <c r="F114" s="2" t="s">
        <v>63</v>
      </c>
      <c r="G114">
        <v>38139</v>
      </c>
      <c r="H114">
        <v>8076.27</v>
      </c>
    </row>
    <row r="115" spans="1:8" x14ac:dyDescent="0.25">
      <c r="A115">
        <v>1258</v>
      </c>
      <c r="B115" s="5">
        <v>45361</v>
      </c>
      <c r="C115" s="2" t="s">
        <v>12</v>
      </c>
      <c r="D115" s="2" t="s">
        <v>16</v>
      </c>
      <c r="E115" s="2" t="s">
        <v>66</v>
      </c>
      <c r="F115" s="2" t="s">
        <v>48</v>
      </c>
      <c r="G115">
        <v>52423</v>
      </c>
      <c r="H115">
        <v>4919.82</v>
      </c>
    </row>
    <row r="116" spans="1:8" x14ac:dyDescent="0.25">
      <c r="A116">
        <v>1430</v>
      </c>
      <c r="B116" s="5">
        <v>45362</v>
      </c>
      <c r="C116" s="2" t="s">
        <v>31</v>
      </c>
      <c r="D116" s="2" t="s">
        <v>16</v>
      </c>
      <c r="E116" s="2" t="s">
        <v>17</v>
      </c>
      <c r="F116" s="2" t="s">
        <v>62</v>
      </c>
      <c r="G116">
        <v>30635</v>
      </c>
      <c r="H116">
        <v>5127.53</v>
      </c>
    </row>
    <row r="117" spans="1:8" x14ac:dyDescent="0.25">
      <c r="A117">
        <v>1171</v>
      </c>
      <c r="B117" s="5">
        <v>45363</v>
      </c>
      <c r="C117" s="2" t="s">
        <v>12</v>
      </c>
      <c r="D117" s="2" t="s">
        <v>13</v>
      </c>
      <c r="E117" s="2" t="s">
        <v>22</v>
      </c>
      <c r="F117" s="2" t="s">
        <v>110</v>
      </c>
      <c r="G117">
        <v>14105</v>
      </c>
      <c r="H117">
        <v>1529.57</v>
      </c>
    </row>
    <row r="118" spans="1:8" x14ac:dyDescent="0.25">
      <c r="A118">
        <v>1208</v>
      </c>
      <c r="B118" s="5">
        <v>45363</v>
      </c>
      <c r="C118" s="2" t="s">
        <v>31</v>
      </c>
      <c r="D118" s="2" t="s">
        <v>13</v>
      </c>
      <c r="E118" s="2" t="s">
        <v>41</v>
      </c>
      <c r="F118" s="2" t="s">
        <v>89</v>
      </c>
      <c r="G118">
        <v>28369</v>
      </c>
      <c r="H118">
        <v>2248.94</v>
      </c>
    </row>
    <row r="119" spans="1:8" x14ac:dyDescent="0.25">
      <c r="A119">
        <v>1003</v>
      </c>
      <c r="B119" s="5">
        <v>45365</v>
      </c>
      <c r="C119" s="2" t="s">
        <v>8</v>
      </c>
      <c r="D119" s="2" t="s">
        <v>9</v>
      </c>
      <c r="E119" s="2" t="s">
        <v>19</v>
      </c>
      <c r="F119" s="2" t="s">
        <v>20</v>
      </c>
      <c r="G119">
        <v>29944</v>
      </c>
      <c r="H119">
        <v>7296.25</v>
      </c>
    </row>
    <row r="120" spans="1:8" x14ac:dyDescent="0.25">
      <c r="A120">
        <v>1009</v>
      </c>
      <c r="B120" s="5">
        <v>45366</v>
      </c>
      <c r="C120" s="2" t="s">
        <v>31</v>
      </c>
      <c r="D120" s="2" t="s">
        <v>13</v>
      </c>
      <c r="E120" s="2" t="s">
        <v>29</v>
      </c>
      <c r="F120" s="2" t="s">
        <v>32</v>
      </c>
      <c r="G120">
        <v>22281</v>
      </c>
      <c r="H120">
        <v>2129.1999999999998</v>
      </c>
    </row>
    <row r="121" spans="1:8" x14ac:dyDescent="0.25">
      <c r="A121">
        <v>1498</v>
      </c>
      <c r="B121" s="5">
        <v>45366</v>
      </c>
      <c r="C121" s="2" t="s">
        <v>31</v>
      </c>
      <c r="D121" s="2" t="s">
        <v>13</v>
      </c>
      <c r="E121" s="2" t="s">
        <v>33</v>
      </c>
      <c r="F121" s="2" t="s">
        <v>99</v>
      </c>
      <c r="G121">
        <v>14885</v>
      </c>
      <c r="H121">
        <v>3398.25</v>
      </c>
    </row>
    <row r="122" spans="1:8" x14ac:dyDescent="0.25">
      <c r="A122">
        <v>1386</v>
      </c>
      <c r="B122" s="5">
        <v>45367</v>
      </c>
      <c r="C122" s="2" t="s">
        <v>21</v>
      </c>
      <c r="D122" s="2" t="s">
        <v>16</v>
      </c>
      <c r="E122" s="2" t="s">
        <v>71</v>
      </c>
      <c r="F122" s="2" t="s">
        <v>102</v>
      </c>
      <c r="G122">
        <v>41943</v>
      </c>
      <c r="H122">
        <v>5025.79</v>
      </c>
    </row>
    <row r="123" spans="1:8" x14ac:dyDescent="0.25">
      <c r="A123">
        <v>1228</v>
      </c>
      <c r="B123" s="5">
        <v>45368</v>
      </c>
      <c r="C123" s="2" t="s">
        <v>31</v>
      </c>
      <c r="D123" s="2" t="s">
        <v>13</v>
      </c>
      <c r="E123" s="2" t="s">
        <v>29</v>
      </c>
      <c r="F123" s="2" t="s">
        <v>73</v>
      </c>
      <c r="G123">
        <v>46629</v>
      </c>
      <c r="H123">
        <v>3702.45</v>
      </c>
    </row>
    <row r="124" spans="1:8" x14ac:dyDescent="0.25">
      <c r="A124">
        <v>1044</v>
      </c>
      <c r="B124" s="5">
        <v>45369</v>
      </c>
      <c r="C124" s="2" t="s">
        <v>8</v>
      </c>
      <c r="D124" s="2" t="s">
        <v>9</v>
      </c>
      <c r="E124" s="2" t="s">
        <v>10</v>
      </c>
      <c r="F124" s="2" t="s">
        <v>49</v>
      </c>
      <c r="G124">
        <v>36533</v>
      </c>
      <c r="H124">
        <v>9010.16</v>
      </c>
    </row>
    <row r="125" spans="1:8" x14ac:dyDescent="0.25">
      <c r="A125">
        <v>1220</v>
      </c>
      <c r="B125" s="5">
        <v>45370</v>
      </c>
      <c r="C125" s="2" t="s">
        <v>21</v>
      </c>
      <c r="D125" s="2" t="s">
        <v>16</v>
      </c>
      <c r="E125" s="2" t="s">
        <v>71</v>
      </c>
      <c r="F125" s="2" t="s">
        <v>89</v>
      </c>
      <c r="G125">
        <v>53300</v>
      </c>
      <c r="H125">
        <v>3099.67</v>
      </c>
    </row>
    <row r="126" spans="1:8" x14ac:dyDescent="0.25">
      <c r="A126">
        <v>1391</v>
      </c>
      <c r="B126" s="5">
        <v>45370</v>
      </c>
      <c r="C126" s="2" t="s">
        <v>8</v>
      </c>
      <c r="D126" s="2" t="s">
        <v>13</v>
      </c>
      <c r="E126" s="2" t="s">
        <v>33</v>
      </c>
      <c r="F126" s="2" t="s">
        <v>100</v>
      </c>
      <c r="G126">
        <v>32479</v>
      </c>
      <c r="H126">
        <v>5412.28</v>
      </c>
    </row>
    <row r="127" spans="1:8" x14ac:dyDescent="0.25">
      <c r="A127">
        <v>1419</v>
      </c>
      <c r="B127" s="5">
        <v>45370</v>
      </c>
      <c r="C127" s="2" t="s">
        <v>21</v>
      </c>
      <c r="D127" s="2" t="s">
        <v>9</v>
      </c>
      <c r="E127" s="2" t="s">
        <v>27</v>
      </c>
      <c r="F127" s="2" t="s">
        <v>36</v>
      </c>
      <c r="G127">
        <v>43704</v>
      </c>
      <c r="H127">
        <v>10175</v>
      </c>
    </row>
    <row r="128" spans="1:8" x14ac:dyDescent="0.25">
      <c r="A128">
        <v>1445</v>
      </c>
      <c r="B128" s="5">
        <v>45370</v>
      </c>
      <c r="C128" s="2" t="s">
        <v>31</v>
      </c>
      <c r="D128" s="2" t="s">
        <v>16</v>
      </c>
      <c r="E128" s="2" t="s">
        <v>47</v>
      </c>
      <c r="F128" s="2" t="s">
        <v>40</v>
      </c>
      <c r="G128">
        <v>18918</v>
      </c>
      <c r="H128">
        <v>4629.8</v>
      </c>
    </row>
    <row r="129" spans="1:8" x14ac:dyDescent="0.25">
      <c r="A129">
        <v>1036</v>
      </c>
      <c r="B129" s="5">
        <v>45371</v>
      </c>
      <c r="C129" s="2" t="s">
        <v>31</v>
      </c>
      <c r="D129" s="2" t="s">
        <v>9</v>
      </c>
      <c r="E129" s="2" t="s">
        <v>19</v>
      </c>
      <c r="F129" s="2" t="s">
        <v>58</v>
      </c>
      <c r="G129">
        <v>38864</v>
      </c>
      <c r="H129">
        <v>3943.07</v>
      </c>
    </row>
    <row r="130" spans="1:8" x14ac:dyDescent="0.25">
      <c r="A130">
        <v>1143</v>
      </c>
      <c r="B130" s="5">
        <v>45371</v>
      </c>
      <c r="C130" s="2" t="s">
        <v>12</v>
      </c>
      <c r="D130" s="2" t="s">
        <v>16</v>
      </c>
      <c r="E130" s="2" t="s">
        <v>44</v>
      </c>
      <c r="F130" s="2" t="s">
        <v>86</v>
      </c>
      <c r="G130">
        <v>52777</v>
      </c>
      <c r="H130">
        <v>8314.57</v>
      </c>
    </row>
    <row r="131" spans="1:8" x14ac:dyDescent="0.25">
      <c r="A131">
        <v>1150</v>
      </c>
      <c r="B131" s="5">
        <v>45371</v>
      </c>
      <c r="C131" s="2" t="s">
        <v>31</v>
      </c>
      <c r="D131" s="2" t="s">
        <v>9</v>
      </c>
      <c r="E131" s="2" t="s">
        <v>27</v>
      </c>
      <c r="F131" s="2" t="s">
        <v>55</v>
      </c>
      <c r="G131">
        <v>31470</v>
      </c>
      <c r="H131">
        <v>6025.08</v>
      </c>
    </row>
    <row r="132" spans="1:8" x14ac:dyDescent="0.25">
      <c r="A132">
        <v>1027</v>
      </c>
      <c r="B132" s="5">
        <v>45372</v>
      </c>
      <c r="C132" s="2" t="s">
        <v>8</v>
      </c>
      <c r="D132" s="2" t="s">
        <v>9</v>
      </c>
      <c r="E132" s="2" t="s">
        <v>10</v>
      </c>
      <c r="F132" s="2" t="s">
        <v>51</v>
      </c>
      <c r="G132">
        <v>21117</v>
      </c>
      <c r="H132">
        <v>4748.3100000000004</v>
      </c>
    </row>
    <row r="133" spans="1:8" x14ac:dyDescent="0.25">
      <c r="A133">
        <v>1155</v>
      </c>
      <c r="B133" s="5">
        <v>45372</v>
      </c>
      <c r="C133" s="2" t="s">
        <v>8</v>
      </c>
      <c r="D133" s="2" t="s">
        <v>16</v>
      </c>
      <c r="E133" s="2" t="s">
        <v>66</v>
      </c>
      <c r="F133" s="2" t="s">
        <v>87</v>
      </c>
      <c r="G133">
        <v>54870</v>
      </c>
      <c r="H133">
        <v>3453.85</v>
      </c>
    </row>
    <row r="134" spans="1:8" x14ac:dyDescent="0.25">
      <c r="A134">
        <v>1369</v>
      </c>
      <c r="B134" s="5">
        <v>45372</v>
      </c>
      <c r="C134" s="2" t="s">
        <v>12</v>
      </c>
      <c r="D134" s="2" t="s">
        <v>9</v>
      </c>
      <c r="E134" s="2" t="s">
        <v>35</v>
      </c>
      <c r="F134" s="2" t="s">
        <v>94</v>
      </c>
      <c r="G134">
        <v>2290</v>
      </c>
      <c r="H134">
        <v>252.39</v>
      </c>
    </row>
    <row r="135" spans="1:8" x14ac:dyDescent="0.25">
      <c r="A135">
        <v>1399</v>
      </c>
      <c r="B135" s="5">
        <v>45372</v>
      </c>
      <c r="C135" s="2" t="s">
        <v>21</v>
      </c>
      <c r="D135" s="2" t="s">
        <v>13</v>
      </c>
      <c r="E135" s="2" t="s">
        <v>33</v>
      </c>
      <c r="F135" s="2" t="s">
        <v>24</v>
      </c>
      <c r="G135">
        <v>51408</v>
      </c>
      <c r="H135">
        <v>8713.85</v>
      </c>
    </row>
    <row r="136" spans="1:8" x14ac:dyDescent="0.25">
      <c r="A136">
        <v>1030</v>
      </c>
      <c r="B136" s="5">
        <v>45374</v>
      </c>
      <c r="C136" s="2" t="s">
        <v>12</v>
      </c>
      <c r="D136" s="2" t="s">
        <v>16</v>
      </c>
      <c r="E136" s="2" t="s">
        <v>47</v>
      </c>
      <c r="F136" s="2" t="s">
        <v>52</v>
      </c>
      <c r="G136">
        <v>21394</v>
      </c>
      <c r="H136">
        <v>1242.25</v>
      </c>
    </row>
    <row r="137" spans="1:8" x14ac:dyDescent="0.25">
      <c r="A137">
        <v>1194</v>
      </c>
      <c r="B137" s="5">
        <v>45374</v>
      </c>
      <c r="C137" s="2" t="s">
        <v>31</v>
      </c>
      <c r="D137" s="2" t="s">
        <v>9</v>
      </c>
      <c r="E137" s="2" t="s">
        <v>25</v>
      </c>
      <c r="F137" s="2" t="s">
        <v>109</v>
      </c>
      <c r="G137">
        <v>24377</v>
      </c>
      <c r="H137">
        <v>2896.7</v>
      </c>
    </row>
    <row r="138" spans="1:8" x14ac:dyDescent="0.25">
      <c r="A138">
        <v>1390</v>
      </c>
      <c r="B138" s="5">
        <v>45374</v>
      </c>
      <c r="C138" s="2" t="s">
        <v>31</v>
      </c>
      <c r="D138" s="2" t="s">
        <v>16</v>
      </c>
      <c r="E138" s="2" t="s">
        <v>17</v>
      </c>
      <c r="F138" s="2" t="s">
        <v>56</v>
      </c>
      <c r="G138">
        <v>41734</v>
      </c>
      <c r="H138">
        <v>3860.73</v>
      </c>
    </row>
    <row r="139" spans="1:8" x14ac:dyDescent="0.25">
      <c r="A139">
        <v>1067</v>
      </c>
      <c r="B139" s="5">
        <v>45375</v>
      </c>
      <c r="C139" s="2" t="s">
        <v>12</v>
      </c>
      <c r="D139" s="2" t="s">
        <v>13</v>
      </c>
      <c r="E139" s="2" t="s">
        <v>41</v>
      </c>
      <c r="F139" s="2" t="s">
        <v>39</v>
      </c>
      <c r="G139">
        <v>45974</v>
      </c>
      <c r="H139">
        <v>11369.33</v>
      </c>
    </row>
    <row r="140" spans="1:8" x14ac:dyDescent="0.25">
      <c r="A140">
        <v>1072</v>
      </c>
      <c r="B140" s="5">
        <v>45376</v>
      </c>
      <c r="C140" s="2" t="s">
        <v>31</v>
      </c>
      <c r="D140" s="2" t="s">
        <v>16</v>
      </c>
      <c r="E140" s="2" t="s">
        <v>17</v>
      </c>
      <c r="F140" s="2" t="s">
        <v>83</v>
      </c>
      <c r="G140">
        <v>56356</v>
      </c>
      <c r="H140">
        <v>8567.36</v>
      </c>
    </row>
    <row r="141" spans="1:8" x14ac:dyDescent="0.25">
      <c r="A141">
        <v>1420</v>
      </c>
      <c r="B141" s="5">
        <v>45377</v>
      </c>
      <c r="C141" s="2" t="s">
        <v>31</v>
      </c>
      <c r="D141" s="2" t="s">
        <v>16</v>
      </c>
      <c r="E141" s="2" t="s">
        <v>66</v>
      </c>
      <c r="F141" s="2" t="s">
        <v>101</v>
      </c>
      <c r="G141">
        <v>11206</v>
      </c>
      <c r="H141">
        <v>1026.95</v>
      </c>
    </row>
    <row r="142" spans="1:8" x14ac:dyDescent="0.25">
      <c r="A142">
        <v>1125</v>
      </c>
      <c r="B142" s="5">
        <v>45379</v>
      </c>
      <c r="C142" s="2" t="s">
        <v>31</v>
      </c>
      <c r="D142" s="2" t="s">
        <v>9</v>
      </c>
      <c r="E142" s="2" t="s">
        <v>25</v>
      </c>
      <c r="F142" s="2" t="s">
        <v>67</v>
      </c>
      <c r="G142">
        <v>18757</v>
      </c>
      <c r="H142">
        <v>3159.62</v>
      </c>
    </row>
    <row r="143" spans="1:8" x14ac:dyDescent="0.25">
      <c r="A143">
        <v>1358</v>
      </c>
      <c r="B143" s="5">
        <v>45379</v>
      </c>
      <c r="C143" s="2" t="s">
        <v>21</v>
      </c>
      <c r="D143" s="2" t="s">
        <v>16</v>
      </c>
      <c r="E143" s="2" t="s">
        <v>47</v>
      </c>
      <c r="F143" s="2" t="s">
        <v>108</v>
      </c>
      <c r="G143">
        <v>559</v>
      </c>
      <c r="H143">
        <v>127.07</v>
      </c>
    </row>
    <row r="144" spans="1:8" x14ac:dyDescent="0.25">
      <c r="A144">
        <v>1315</v>
      </c>
      <c r="B144" s="5">
        <v>45380</v>
      </c>
      <c r="C144" s="2" t="s">
        <v>21</v>
      </c>
      <c r="D144" s="2" t="s">
        <v>16</v>
      </c>
      <c r="E144" s="2" t="s">
        <v>47</v>
      </c>
      <c r="F144" s="2" t="s">
        <v>99</v>
      </c>
      <c r="G144">
        <v>54627</v>
      </c>
      <c r="H144">
        <v>6806.4</v>
      </c>
    </row>
    <row r="145" spans="1:8" x14ac:dyDescent="0.25">
      <c r="A145">
        <v>1374</v>
      </c>
      <c r="B145" s="5">
        <v>45380</v>
      </c>
      <c r="C145" s="2" t="s">
        <v>31</v>
      </c>
      <c r="D145" s="2" t="s">
        <v>9</v>
      </c>
      <c r="E145" s="2" t="s">
        <v>19</v>
      </c>
      <c r="F145" s="2" t="s">
        <v>30</v>
      </c>
      <c r="G145">
        <v>38581</v>
      </c>
      <c r="H145">
        <v>9069.98</v>
      </c>
    </row>
    <row r="146" spans="1:8" x14ac:dyDescent="0.25">
      <c r="A146">
        <v>1213</v>
      </c>
      <c r="B146" s="5">
        <v>45381</v>
      </c>
      <c r="C146" s="2" t="s">
        <v>12</v>
      </c>
      <c r="D146" s="2" t="s">
        <v>16</v>
      </c>
      <c r="E146" s="2" t="s">
        <v>17</v>
      </c>
      <c r="F146" s="2" t="s">
        <v>114</v>
      </c>
      <c r="G146">
        <v>3018</v>
      </c>
      <c r="H146">
        <v>713.19</v>
      </c>
    </row>
    <row r="147" spans="1:8" x14ac:dyDescent="0.25">
      <c r="A147">
        <v>1428</v>
      </c>
      <c r="B147" s="5">
        <v>45382</v>
      </c>
      <c r="C147" s="2" t="s">
        <v>31</v>
      </c>
      <c r="D147" s="2" t="s">
        <v>9</v>
      </c>
      <c r="E147" s="2" t="s">
        <v>10</v>
      </c>
      <c r="F147" s="2" t="s">
        <v>75</v>
      </c>
      <c r="G147">
        <v>22357</v>
      </c>
      <c r="H147">
        <v>1794.04</v>
      </c>
    </row>
    <row r="148" spans="1:8" hidden="1" x14ac:dyDescent="0.25">
      <c r="A148">
        <v>1123</v>
      </c>
      <c r="B148" s="5">
        <v>45384</v>
      </c>
      <c r="C148" s="2" t="s">
        <v>12</v>
      </c>
      <c r="D148" s="2" t="s">
        <v>9</v>
      </c>
      <c r="E148" s="2" t="s">
        <v>35</v>
      </c>
      <c r="F148" s="2" t="s">
        <v>36</v>
      </c>
      <c r="G148">
        <v>32759</v>
      </c>
      <c r="H148">
        <v>7196.89</v>
      </c>
    </row>
    <row r="149" spans="1:8" hidden="1" x14ac:dyDescent="0.25">
      <c r="A149">
        <v>1166</v>
      </c>
      <c r="B149" s="5">
        <v>45385</v>
      </c>
      <c r="C149" s="2" t="s">
        <v>8</v>
      </c>
      <c r="D149" s="2" t="s">
        <v>13</v>
      </c>
      <c r="E149" s="2" t="s">
        <v>41</v>
      </c>
      <c r="F149" s="2" t="s">
        <v>45</v>
      </c>
      <c r="G149">
        <v>57685</v>
      </c>
      <c r="H149">
        <v>8856.2999999999993</v>
      </c>
    </row>
    <row r="150" spans="1:8" hidden="1" x14ac:dyDescent="0.25">
      <c r="A150">
        <v>1170</v>
      </c>
      <c r="B150" s="5">
        <v>45385</v>
      </c>
      <c r="C150" s="2" t="s">
        <v>31</v>
      </c>
      <c r="D150" s="2" t="s">
        <v>9</v>
      </c>
      <c r="E150" s="2" t="s">
        <v>27</v>
      </c>
      <c r="F150" s="2" t="s">
        <v>89</v>
      </c>
      <c r="G150">
        <v>1523</v>
      </c>
      <c r="H150">
        <v>333.71</v>
      </c>
    </row>
    <row r="151" spans="1:8" hidden="1" x14ac:dyDescent="0.25">
      <c r="A151">
        <v>1361</v>
      </c>
      <c r="B151" s="5">
        <v>45385</v>
      </c>
      <c r="C151" s="2" t="s">
        <v>12</v>
      </c>
      <c r="D151" s="2" t="s">
        <v>9</v>
      </c>
      <c r="E151" s="2" t="s">
        <v>35</v>
      </c>
      <c r="F151" s="2" t="s">
        <v>80</v>
      </c>
      <c r="G151">
        <v>36059</v>
      </c>
      <c r="H151">
        <v>4368.74</v>
      </c>
    </row>
    <row r="152" spans="1:8" hidden="1" x14ac:dyDescent="0.25">
      <c r="A152">
        <v>1110</v>
      </c>
      <c r="B152" s="5">
        <v>45386</v>
      </c>
      <c r="C152" s="2" t="s">
        <v>12</v>
      </c>
      <c r="D152" s="2" t="s">
        <v>13</v>
      </c>
      <c r="E152" s="2" t="s">
        <v>22</v>
      </c>
      <c r="F152" s="2" t="s">
        <v>55</v>
      </c>
      <c r="G152">
        <v>33586</v>
      </c>
      <c r="H152">
        <v>2687.04</v>
      </c>
    </row>
    <row r="153" spans="1:8" hidden="1" x14ac:dyDescent="0.25">
      <c r="A153">
        <v>1149</v>
      </c>
      <c r="B153" s="5">
        <v>45387</v>
      </c>
      <c r="C153" s="2" t="s">
        <v>31</v>
      </c>
      <c r="D153" s="2" t="s">
        <v>16</v>
      </c>
      <c r="E153" s="2" t="s">
        <v>71</v>
      </c>
      <c r="F153" s="2" t="s">
        <v>48</v>
      </c>
      <c r="G153">
        <v>49219</v>
      </c>
      <c r="H153">
        <v>3160.56</v>
      </c>
    </row>
    <row r="154" spans="1:8" hidden="1" x14ac:dyDescent="0.25">
      <c r="A154">
        <v>1327</v>
      </c>
      <c r="B154" s="5">
        <v>45387</v>
      </c>
      <c r="C154" s="2" t="s">
        <v>21</v>
      </c>
      <c r="D154" s="2" t="s">
        <v>13</v>
      </c>
      <c r="E154" s="2" t="s">
        <v>14</v>
      </c>
      <c r="F154" s="2" t="s">
        <v>98</v>
      </c>
      <c r="G154">
        <v>29081</v>
      </c>
      <c r="H154">
        <v>1882.79</v>
      </c>
    </row>
    <row r="155" spans="1:8" hidden="1" x14ac:dyDescent="0.25">
      <c r="A155">
        <v>1034</v>
      </c>
      <c r="B155" s="5">
        <v>45388</v>
      </c>
      <c r="C155" s="2" t="s">
        <v>8</v>
      </c>
      <c r="D155" s="2" t="s">
        <v>13</v>
      </c>
      <c r="E155" s="2" t="s">
        <v>29</v>
      </c>
      <c r="F155" s="2" t="s">
        <v>56</v>
      </c>
      <c r="G155">
        <v>49635</v>
      </c>
      <c r="H155">
        <v>2504.27</v>
      </c>
    </row>
    <row r="156" spans="1:8" hidden="1" x14ac:dyDescent="0.25">
      <c r="A156">
        <v>1098</v>
      </c>
      <c r="B156" s="5">
        <v>45388</v>
      </c>
      <c r="C156" s="2" t="s">
        <v>8</v>
      </c>
      <c r="D156" s="2" t="s">
        <v>16</v>
      </c>
      <c r="E156" s="2" t="s">
        <v>71</v>
      </c>
      <c r="F156" s="2" t="s">
        <v>96</v>
      </c>
      <c r="G156">
        <v>33102</v>
      </c>
      <c r="H156">
        <v>5332.73</v>
      </c>
    </row>
    <row r="157" spans="1:8" hidden="1" x14ac:dyDescent="0.25">
      <c r="A157">
        <v>1463</v>
      </c>
      <c r="B157" s="5">
        <v>45389</v>
      </c>
      <c r="C157" s="2" t="s">
        <v>8</v>
      </c>
      <c r="D157" s="2" t="s">
        <v>16</v>
      </c>
      <c r="E157" s="2" t="s">
        <v>71</v>
      </c>
      <c r="F157" s="2" t="s">
        <v>59</v>
      </c>
      <c r="G157">
        <v>9521</v>
      </c>
      <c r="H157">
        <v>1695.04</v>
      </c>
    </row>
    <row r="158" spans="1:8" hidden="1" x14ac:dyDescent="0.25">
      <c r="A158">
        <v>1085</v>
      </c>
      <c r="B158" s="5">
        <v>45391</v>
      </c>
      <c r="C158" s="2" t="s">
        <v>8</v>
      </c>
      <c r="D158" s="2" t="s">
        <v>16</v>
      </c>
      <c r="E158" s="2" t="s">
        <v>66</v>
      </c>
      <c r="F158" s="2" t="s">
        <v>89</v>
      </c>
      <c r="G158">
        <v>58878</v>
      </c>
      <c r="H158">
        <v>10063.26</v>
      </c>
    </row>
    <row r="159" spans="1:8" hidden="1" x14ac:dyDescent="0.25">
      <c r="A159">
        <v>1407</v>
      </c>
      <c r="B159" s="5">
        <v>45391</v>
      </c>
      <c r="C159" s="2" t="s">
        <v>21</v>
      </c>
      <c r="D159" s="2" t="s">
        <v>16</v>
      </c>
      <c r="E159" s="2" t="s">
        <v>47</v>
      </c>
      <c r="F159" s="2" t="s">
        <v>89</v>
      </c>
      <c r="G159">
        <v>15315</v>
      </c>
      <c r="H159">
        <v>3474.67</v>
      </c>
    </row>
    <row r="160" spans="1:8" hidden="1" x14ac:dyDescent="0.25">
      <c r="A160">
        <v>1383</v>
      </c>
      <c r="B160" s="5">
        <v>45393</v>
      </c>
      <c r="C160" s="2" t="s">
        <v>8</v>
      </c>
      <c r="D160" s="2" t="s">
        <v>13</v>
      </c>
      <c r="E160" s="2" t="s">
        <v>14</v>
      </c>
      <c r="F160" s="2" t="s">
        <v>26</v>
      </c>
      <c r="G160">
        <v>50989</v>
      </c>
      <c r="H160">
        <v>4091.18</v>
      </c>
    </row>
    <row r="161" spans="1:8" hidden="1" x14ac:dyDescent="0.25">
      <c r="A161">
        <v>1139</v>
      </c>
      <c r="B161" s="5">
        <v>45394</v>
      </c>
      <c r="C161" s="2" t="s">
        <v>31</v>
      </c>
      <c r="D161" s="2" t="s">
        <v>16</v>
      </c>
      <c r="E161" s="2" t="s">
        <v>44</v>
      </c>
      <c r="F161" s="2" t="s">
        <v>15</v>
      </c>
      <c r="G161">
        <v>32819</v>
      </c>
      <c r="H161">
        <v>3460.31</v>
      </c>
    </row>
    <row r="162" spans="1:8" hidden="1" x14ac:dyDescent="0.25">
      <c r="A162">
        <v>1431</v>
      </c>
      <c r="B162" s="5">
        <v>45395</v>
      </c>
      <c r="C162" s="2" t="s">
        <v>21</v>
      </c>
      <c r="D162" s="2" t="s">
        <v>9</v>
      </c>
      <c r="E162" s="2" t="s">
        <v>27</v>
      </c>
      <c r="F162" s="2" t="s">
        <v>100</v>
      </c>
      <c r="G162">
        <v>47508</v>
      </c>
      <c r="H162">
        <v>7064.3</v>
      </c>
    </row>
    <row r="163" spans="1:8" hidden="1" x14ac:dyDescent="0.25">
      <c r="A163">
        <v>1006</v>
      </c>
      <c r="B163" s="5">
        <v>45396</v>
      </c>
      <c r="C163" s="2" t="s">
        <v>12</v>
      </c>
      <c r="D163" s="2" t="s">
        <v>9</v>
      </c>
      <c r="E163" s="2" t="s">
        <v>25</v>
      </c>
      <c r="F163" s="2" t="s">
        <v>26</v>
      </c>
      <c r="G163">
        <v>35385</v>
      </c>
      <c r="H163">
        <v>6957.62</v>
      </c>
    </row>
    <row r="164" spans="1:8" hidden="1" x14ac:dyDescent="0.25">
      <c r="A164">
        <v>1122</v>
      </c>
      <c r="B164" s="5">
        <v>45396</v>
      </c>
      <c r="C164" s="2" t="s">
        <v>21</v>
      </c>
      <c r="D164" s="2" t="s">
        <v>9</v>
      </c>
      <c r="E164" s="2" t="s">
        <v>25</v>
      </c>
      <c r="F164" s="2" t="s">
        <v>40</v>
      </c>
      <c r="G164">
        <v>31408</v>
      </c>
      <c r="H164">
        <v>3699.53</v>
      </c>
    </row>
    <row r="165" spans="1:8" hidden="1" x14ac:dyDescent="0.25">
      <c r="A165">
        <v>1234</v>
      </c>
      <c r="B165" s="5">
        <v>45397</v>
      </c>
      <c r="C165" s="2" t="s">
        <v>21</v>
      </c>
      <c r="D165" s="2" t="s">
        <v>13</v>
      </c>
      <c r="E165" s="2" t="s">
        <v>41</v>
      </c>
      <c r="F165" s="2" t="s">
        <v>70</v>
      </c>
      <c r="G165">
        <v>46352</v>
      </c>
      <c r="H165">
        <v>5274.18</v>
      </c>
    </row>
    <row r="166" spans="1:8" hidden="1" x14ac:dyDescent="0.25">
      <c r="A166">
        <v>1246</v>
      </c>
      <c r="B166" s="5">
        <v>45397</v>
      </c>
      <c r="C166" s="2" t="s">
        <v>21</v>
      </c>
      <c r="D166" s="2" t="s">
        <v>9</v>
      </c>
      <c r="E166" s="2" t="s">
        <v>27</v>
      </c>
      <c r="F166" s="2" t="s">
        <v>78</v>
      </c>
      <c r="G166">
        <v>51134</v>
      </c>
      <c r="H166">
        <v>3007.62</v>
      </c>
    </row>
    <row r="167" spans="1:8" hidden="1" x14ac:dyDescent="0.25">
      <c r="A167">
        <v>1279</v>
      </c>
      <c r="B167" s="5">
        <v>45397</v>
      </c>
      <c r="C167" s="2" t="s">
        <v>31</v>
      </c>
      <c r="D167" s="2" t="s">
        <v>9</v>
      </c>
      <c r="E167" s="2" t="s">
        <v>27</v>
      </c>
      <c r="F167" s="2" t="s">
        <v>120</v>
      </c>
      <c r="G167">
        <v>47798</v>
      </c>
      <c r="H167">
        <v>3114.84</v>
      </c>
    </row>
    <row r="168" spans="1:8" hidden="1" x14ac:dyDescent="0.25">
      <c r="A168">
        <v>1496</v>
      </c>
      <c r="B168" s="5">
        <v>45397</v>
      </c>
      <c r="C168" s="2" t="s">
        <v>8</v>
      </c>
      <c r="D168" s="2" t="s">
        <v>13</v>
      </c>
      <c r="E168" s="2" t="s">
        <v>33</v>
      </c>
      <c r="F168" s="2" t="s">
        <v>62</v>
      </c>
      <c r="G168">
        <v>30365</v>
      </c>
      <c r="H168">
        <v>7297.89</v>
      </c>
    </row>
    <row r="169" spans="1:8" hidden="1" x14ac:dyDescent="0.25">
      <c r="A169">
        <v>1237</v>
      </c>
      <c r="B169" s="5">
        <v>45399</v>
      </c>
      <c r="C169" s="2" t="s">
        <v>21</v>
      </c>
      <c r="D169" s="2" t="s">
        <v>16</v>
      </c>
      <c r="E169" s="2" t="s">
        <v>47</v>
      </c>
      <c r="F169" s="2" t="s">
        <v>38</v>
      </c>
      <c r="G169">
        <v>11483</v>
      </c>
      <c r="H169">
        <v>804.21</v>
      </c>
    </row>
    <row r="170" spans="1:8" hidden="1" x14ac:dyDescent="0.25">
      <c r="A170">
        <v>1385</v>
      </c>
      <c r="B170" s="5">
        <v>45399</v>
      </c>
      <c r="C170" s="2" t="s">
        <v>12</v>
      </c>
      <c r="D170" s="2" t="s">
        <v>13</v>
      </c>
      <c r="E170" s="2" t="s">
        <v>22</v>
      </c>
      <c r="F170" s="2" t="s">
        <v>24</v>
      </c>
      <c r="G170">
        <v>43552</v>
      </c>
      <c r="H170">
        <v>3104.12</v>
      </c>
    </row>
    <row r="171" spans="1:8" hidden="1" x14ac:dyDescent="0.25">
      <c r="A171">
        <v>1017</v>
      </c>
      <c r="B171" s="5">
        <v>45403</v>
      </c>
      <c r="C171" s="2" t="s">
        <v>8</v>
      </c>
      <c r="D171" s="2" t="s">
        <v>13</v>
      </c>
      <c r="E171" s="2" t="s">
        <v>41</v>
      </c>
      <c r="F171" s="2" t="s">
        <v>42</v>
      </c>
      <c r="G171">
        <v>21388</v>
      </c>
      <c r="H171">
        <v>4050.92</v>
      </c>
    </row>
    <row r="172" spans="1:8" hidden="1" x14ac:dyDescent="0.25">
      <c r="A172">
        <v>1127</v>
      </c>
      <c r="B172" s="5">
        <v>45403</v>
      </c>
      <c r="C172" s="2" t="s">
        <v>31</v>
      </c>
      <c r="D172" s="2" t="s">
        <v>16</v>
      </c>
      <c r="E172" s="2" t="s">
        <v>71</v>
      </c>
      <c r="F172" s="2" t="s">
        <v>84</v>
      </c>
      <c r="G172">
        <v>55980</v>
      </c>
      <c r="H172">
        <v>13952.47</v>
      </c>
    </row>
    <row r="173" spans="1:8" hidden="1" x14ac:dyDescent="0.25">
      <c r="A173">
        <v>1128</v>
      </c>
      <c r="B173" s="5">
        <v>45403</v>
      </c>
      <c r="C173" s="2" t="s">
        <v>21</v>
      </c>
      <c r="D173" s="2" t="s">
        <v>16</v>
      </c>
      <c r="E173" s="2" t="s">
        <v>44</v>
      </c>
      <c r="F173" s="2" t="s">
        <v>104</v>
      </c>
      <c r="G173">
        <v>56594</v>
      </c>
      <c r="H173">
        <v>10489.59</v>
      </c>
    </row>
    <row r="174" spans="1:8" hidden="1" x14ac:dyDescent="0.25">
      <c r="A174">
        <v>1206</v>
      </c>
      <c r="B174" s="5">
        <v>45403</v>
      </c>
      <c r="C174" s="2" t="s">
        <v>21</v>
      </c>
      <c r="D174" s="2" t="s">
        <v>9</v>
      </c>
      <c r="E174" s="2" t="s">
        <v>35</v>
      </c>
      <c r="F174" s="2" t="s">
        <v>46</v>
      </c>
      <c r="G174">
        <v>12979</v>
      </c>
      <c r="H174">
        <v>2676.41</v>
      </c>
    </row>
    <row r="175" spans="1:8" hidden="1" x14ac:dyDescent="0.25">
      <c r="A175">
        <v>1441</v>
      </c>
      <c r="B175" s="5">
        <v>45405</v>
      </c>
      <c r="C175" s="2" t="s">
        <v>12</v>
      </c>
      <c r="D175" s="2" t="s">
        <v>16</v>
      </c>
      <c r="E175" s="2" t="s">
        <v>66</v>
      </c>
      <c r="F175" s="2" t="s">
        <v>53</v>
      </c>
      <c r="G175">
        <v>11525</v>
      </c>
      <c r="H175">
        <v>644.83000000000004</v>
      </c>
    </row>
    <row r="176" spans="1:8" hidden="1" x14ac:dyDescent="0.25">
      <c r="A176">
        <v>1037</v>
      </c>
      <c r="B176" s="5">
        <v>45406</v>
      </c>
      <c r="C176" s="2" t="s">
        <v>31</v>
      </c>
      <c r="D176" s="2" t="s">
        <v>9</v>
      </c>
      <c r="E176" s="2" t="s">
        <v>35</v>
      </c>
      <c r="F176" s="2" t="s">
        <v>59</v>
      </c>
      <c r="G176">
        <v>48818</v>
      </c>
      <c r="H176">
        <v>8242.2000000000007</v>
      </c>
    </row>
    <row r="177" spans="1:8" hidden="1" x14ac:dyDescent="0.25">
      <c r="A177">
        <v>1239</v>
      </c>
      <c r="B177" s="5">
        <v>45406</v>
      </c>
      <c r="C177" s="2" t="s">
        <v>12</v>
      </c>
      <c r="D177" s="2" t="s">
        <v>16</v>
      </c>
      <c r="E177" s="2" t="s">
        <v>66</v>
      </c>
      <c r="F177" s="2" t="s">
        <v>65</v>
      </c>
      <c r="G177">
        <v>25776</v>
      </c>
      <c r="H177">
        <v>1512.71</v>
      </c>
    </row>
    <row r="178" spans="1:8" hidden="1" x14ac:dyDescent="0.25">
      <c r="A178">
        <v>1381</v>
      </c>
      <c r="B178" s="5">
        <v>45407</v>
      </c>
      <c r="C178" s="2" t="s">
        <v>12</v>
      </c>
      <c r="D178" s="2" t="s">
        <v>13</v>
      </c>
      <c r="E178" s="2" t="s">
        <v>41</v>
      </c>
      <c r="F178" s="2" t="s">
        <v>119</v>
      </c>
      <c r="G178">
        <v>14304</v>
      </c>
      <c r="H178">
        <v>2864.04</v>
      </c>
    </row>
    <row r="179" spans="1:8" hidden="1" x14ac:dyDescent="0.25">
      <c r="A179">
        <v>1049</v>
      </c>
      <c r="B179" s="5">
        <v>45408</v>
      </c>
      <c r="C179" s="2" t="s">
        <v>8</v>
      </c>
      <c r="D179" s="2" t="s">
        <v>13</v>
      </c>
      <c r="E179" s="2" t="s">
        <v>41</v>
      </c>
      <c r="F179" s="2" t="s">
        <v>69</v>
      </c>
      <c r="G179">
        <v>14000</v>
      </c>
      <c r="H179">
        <v>2997.73</v>
      </c>
    </row>
    <row r="180" spans="1:8" hidden="1" x14ac:dyDescent="0.25">
      <c r="A180">
        <v>1370</v>
      </c>
      <c r="B180" s="5">
        <v>45408</v>
      </c>
      <c r="C180" s="2" t="s">
        <v>21</v>
      </c>
      <c r="D180" s="2" t="s">
        <v>13</v>
      </c>
      <c r="E180" s="2" t="s">
        <v>41</v>
      </c>
      <c r="F180" s="2" t="s">
        <v>108</v>
      </c>
      <c r="G180">
        <v>24838</v>
      </c>
      <c r="H180">
        <v>1467.71</v>
      </c>
    </row>
    <row r="181" spans="1:8" hidden="1" x14ac:dyDescent="0.25">
      <c r="A181">
        <v>1415</v>
      </c>
      <c r="B181" s="5">
        <v>45409</v>
      </c>
      <c r="C181" s="2" t="s">
        <v>8</v>
      </c>
      <c r="D181" s="2" t="s">
        <v>16</v>
      </c>
      <c r="E181" s="2" t="s">
        <v>47</v>
      </c>
      <c r="F181" s="2" t="s">
        <v>74</v>
      </c>
      <c r="G181">
        <v>38338</v>
      </c>
      <c r="H181">
        <v>8180.83</v>
      </c>
    </row>
    <row r="182" spans="1:8" hidden="1" x14ac:dyDescent="0.25">
      <c r="A182">
        <v>1062</v>
      </c>
      <c r="B182" s="5">
        <v>45410</v>
      </c>
      <c r="C182" s="2" t="s">
        <v>8</v>
      </c>
      <c r="D182" s="2" t="s">
        <v>9</v>
      </c>
      <c r="E182" s="2" t="s">
        <v>27</v>
      </c>
      <c r="F182" s="2" t="s">
        <v>79</v>
      </c>
      <c r="G182">
        <v>57320</v>
      </c>
      <c r="H182">
        <v>6308.56</v>
      </c>
    </row>
    <row r="183" spans="1:8" hidden="1" x14ac:dyDescent="0.25">
      <c r="A183">
        <v>1167</v>
      </c>
      <c r="B183" s="5">
        <v>45410</v>
      </c>
      <c r="C183" s="2" t="s">
        <v>8</v>
      </c>
      <c r="D183" s="2" t="s">
        <v>16</v>
      </c>
      <c r="E183" s="2" t="s">
        <v>17</v>
      </c>
      <c r="F183" s="2" t="s">
        <v>102</v>
      </c>
      <c r="G183">
        <v>47334</v>
      </c>
      <c r="H183">
        <v>9586.49</v>
      </c>
    </row>
    <row r="184" spans="1:8" hidden="1" x14ac:dyDescent="0.25">
      <c r="A184">
        <v>1490</v>
      </c>
      <c r="B184" s="5">
        <v>45410</v>
      </c>
      <c r="C184" s="2" t="s">
        <v>8</v>
      </c>
      <c r="D184" s="2" t="s">
        <v>9</v>
      </c>
      <c r="E184" s="2" t="s">
        <v>19</v>
      </c>
      <c r="F184" s="2" t="s">
        <v>40</v>
      </c>
      <c r="G184">
        <v>36036</v>
      </c>
      <c r="H184">
        <v>2383.79</v>
      </c>
    </row>
    <row r="185" spans="1:8" hidden="1" x14ac:dyDescent="0.25">
      <c r="A185">
        <v>1048</v>
      </c>
      <c r="B185" s="5">
        <v>45411</v>
      </c>
      <c r="C185" s="2" t="s">
        <v>12</v>
      </c>
      <c r="D185" s="2" t="s">
        <v>9</v>
      </c>
      <c r="E185" s="2" t="s">
        <v>25</v>
      </c>
      <c r="F185" s="2" t="s">
        <v>68</v>
      </c>
      <c r="G185">
        <v>18647</v>
      </c>
      <c r="H185">
        <v>4251.83</v>
      </c>
    </row>
    <row r="186" spans="1:8" hidden="1" x14ac:dyDescent="0.25">
      <c r="A186">
        <v>1243</v>
      </c>
      <c r="B186" s="5">
        <v>45411</v>
      </c>
      <c r="C186" s="2" t="s">
        <v>8</v>
      </c>
      <c r="D186" s="2" t="s">
        <v>16</v>
      </c>
      <c r="E186" s="2" t="s">
        <v>44</v>
      </c>
      <c r="F186" s="2" t="s">
        <v>20</v>
      </c>
      <c r="G186">
        <v>54533</v>
      </c>
      <c r="H186">
        <v>6703.47</v>
      </c>
    </row>
    <row r="187" spans="1:8" hidden="1" x14ac:dyDescent="0.25">
      <c r="A187">
        <v>1337</v>
      </c>
      <c r="B187" s="5">
        <v>45411</v>
      </c>
      <c r="C187" s="2" t="s">
        <v>8</v>
      </c>
      <c r="D187" s="2" t="s">
        <v>9</v>
      </c>
      <c r="E187" s="2" t="s">
        <v>27</v>
      </c>
      <c r="F187" s="2" t="s">
        <v>126</v>
      </c>
      <c r="G187">
        <v>6782</v>
      </c>
      <c r="H187">
        <v>633.36</v>
      </c>
    </row>
    <row r="188" spans="1:8" hidden="1" x14ac:dyDescent="0.25">
      <c r="A188">
        <v>1486</v>
      </c>
      <c r="B188" s="5">
        <v>45413</v>
      </c>
      <c r="C188" s="2" t="s">
        <v>21</v>
      </c>
      <c r="D188" s="2" t="s">
        <v>13</v>
      </c>
      <c r="E188" s="2" t="s">
        <v>22</v>
      </c>
      <c r="F188" s="2" t="s">
        <v>105</v>
      </c>
      <c r="G188">
        <v>57360</v>
      </c>
      <c r="H188">
        <v>9898.35</v>
      </c>
    </row>
    <row r="189" spans="1:8" hidden="1" x14ac:dyDescent="0.25">
      <c r="A189">
        <v>1077</v>
      </c>
      <c r="B189" s="5">
        <v>45416</v>
      </c>
      <c r="C189" s="2" t="s">
        <v>12</v>
      </c>
      <c r="D189" s="2" t="s">
        <v>9</v>
      </c>
      <c r="E189" s="2" t="s">
        <v>19</v>
      </c>
      <c r="F189" s="2" t="s">
        <v>84</v>
      </c>
      <c r="G189">
        <v>53566</v>
      </c>
      <c r="H189">
        <v>3032.26</v>
      </c>
    </row>
    <row r="190" spans="1:8" hidden="1" x14ac:dyDescent="0.25">
      <c r="A190">
        <v>1230</v>
      </c>
      <c r="B190" s="5">
        <v>45417</v>
      </c>
      <c r="C190" s="2" t="s">
        <v>21</v>
      </c>
      <c r="D190" s="2" t="s">
        <v>9</v>
      </c>
      <c r="E190" s="2" t="s">
        <v>10</v>
      </c>
      <c r="F190" s="2" t="s">
        <v>45</v>
      </c>
      <c r="G190">
        <v>32085</v>
      </c>
      <c r="H190">
        <v>3665.57</v>
      </c>
    </row>
    <row r="191" spans="1:8" hidden="1" x14ac:dyDescent="0.25">
      <c r="A191">
        <v>1016</v>
      </c>
      <c r="B191" s="5">
        <v>45418</v>
      </c>
      <c r="C191" s="2" t="s">
        <v>8</v>
      </c>
      <c r="D191" s="2" t="s">
        <v>13</v>
      </c>
      <c r="E191" s="2" t="s">
        <v>29</v>
      </c>
      <c r="F191" s="2" t="s">
        <v>40</v>
      </c>
      <c r="G191">
        <v>30744</v>
      </c>
      <c r="H191">
        <v>5984.3</v>
      </c>
    </row>
    <row r="192" spans="1:8" hidden="1" x14ac:dyDescent="0.25">
      <c r="A192">
        <v>1144</v>
      </c>
      <c r="B192" s="5">
        <v>45419</v>
      </c>
      <c r="C192" s="2" t="s">
        <v>31</v>
      </c>
      <c r="D192" s="2" t="s">
        <v>9</v>
      </c>
      <c r="E192" s="2" t="s">
        <v>19</v>
      </c>
      <c r="F192" s="2" t="s">
        <v>106</v>
      </c>
      <c r="G192">
        <v>21131</v>
      </c>
      <c r="H192">
        <v>4543.04</v>
      </c>
    </row>
    <row r="193" spans="1:8" hidden="1" x14ac:dyDescent="0.25">
      <c r="A193">
        <v>1198</v>
      </c>
      <c r="B193" s="5">
        <v>45419</v>
      </c>
      <c r="C193" s="2" t="s">
        <v>31</v>
      </c>
      <c r="D193" s="2" t="s">
        <v>13</v>
      </c>
      <c r="E193" s="2" t="s">
        <v>29</v>
      </c>
      <c r="F193" s="2" t="s">
        <v>39</v>
      </c>
      <c r="G193">
        <v>29222</v>
      </c>
      <c r="H193">
        <v>2893.25</v>
      </c>
    </row>
    <row r="194" spans="1:8" hidden="1" x14ac:dyDescent="0.25">
      <c r="A194">
        <v>1236</v>
      </c>
      <c r="B194" s="5">
        <v>45419</v>
      </c>
      <c r="C194" s="2" t="s">
        <v>21</v>
      </c>
      <c r="D194" s="2" t="s">
        <v>16</v>
      </c>
      <c r="E194" s="2" t="s">
        <v>44</v>
      </c>
      <c r="F194" s="2" t="s">
        <v>49</v>
      </c>
      <c r="G194">
        <v>3101</v>
      </c>
      <c r="H194">
        <v>646.01</v>
      </c>
    </row>
    <row r="195" spans="1:8" hidden="1" x14ac:dyDescent="0.25">
      <c r="A195">
        <v>1296</v>
      </c>
      <c r="B195" s="5">
        <v>45420</v>
      </c>
      <c r="C195" s="2" t="s">
        <v>21</v>
      </c>
      <c r="D195" s="2" t="s">
        <v>16</v>
      </c>
      <c r="E195" s="2" t="s">
        <v>66</v>
      </c>
      <c r="F195" s="2" t="s">
        <v>122</v>
      </c>
      <c r="G195">
        <v>22853</v>
      </c>
      <c r="H195">
        <v>3695.9</v>
      </c>
    </row>
    <row r="196" spans="1:8" hidden="1" x14ac:dyDescent="0.25">
      <c r="A196">
        <v>1050</v>
      </c>
      <c r="B196" s="5">
        <v>45422</v>
      </c>
      <c r="C196" s="2" t="s">
        <v>21</v>
      </c>
      <c r="D196" s="2" t="s">
        <v>13</v>
      </c>
      <c r="E196" s="2" t="s">
        <v>29</v>
      </c>
      <c r="F196" s="2" t="s">
        <v>70</v>
      </c>
      <c r="G196">
        <v>5098</v>
      </c>
      <c r="H196">
        <v>346.92</v>
      </c>
    </row>
    <row r="197" spans="1:8" hidden="1" x14ac:dyDescent="0.25">
      <c r="A197">
        <v>1151</v>
      </c>
      <c r="B197" s="5">
        <v>45424</v>
      </c>
      <c r="C197" s="2" t="s">
        <v>31</v>
      </c>
      <c r="D197" s="2" t="s">
        <v>13</v>
      </c>
      <c r="E197" s="2" t="s">
        <v>33</v>
      </c>
      <c r="F197" s="2" t="s">
        <v>108</v>
      </c>
      <c r="G197">
        <v>48741</v>
      </c>
      <c r="H197">
        <v>8211.2999999999993</v>
      </c>
    </row>
    <row r="198" spans="1:8" hidden="1" x14ac:dyDescent="0.25">
      <c r="A198">
        <v>1106</v>
      </c>
      <c r="B198" s="5">
        <v>45425</v>
      </c>
      <c r="C198" s="2" t="s">
        <v>21</v>
      </c>
      <c r="D198" s="2" t="s">
        <v>16</v>
      </c>
      <c r="E198" s="2" t="s">
        <v>66</v>
      </c>
      <c r="F198" s="2" t="s">
        <v>80</v>
      </c>
      <c r="G198">
        <v>48911</v>
      </c>
      <c r="H198">
        <v>11982.27</v>
      </c>
    </row>
    <row r="199" spans="1:8" hidden="1" x14ac:dyDescent="0.25">
      <c r="A199">
        <v>1345</v>
      </c>
      <c r="B199" s="5">
        <v>45425</v>
      </c>
      <c r="C199" s="2" t="s">
        <v>31</v>
      </c>
      <c r="D199" s="2" t="s">
        <v>9</v>
      </c>
      <c r="E199" s="2" t="s">
        <v>10</v>
      </c>
      <c r="F199" s="2" t="s">
        <v>48</v>
      </c>
      <c r="G199">
        <v>39808</v>
      </c>
      <c r="H199">
        <v>4977.4399999999996</v>
      </c>
    </row>
    <row r="200" spans="1:8" hidden="1" x14ac:dyDescent="0.25">
      <c r="A200">
        <v>1416</v>
      </c>
      <c r="B200" s="5">
        <v>45425</v>
      </c>
      <c r="C200" s="2" t="s">
        <v>12</v>
      </c>
      <c r="D200" s="2" t="s">
        <v>9</v>
      </c>
      <c r="E200" s="2" t="s">
        <v>19</v>
      </c>
      <c r="F200" s="2" t="s">
        <v>42</v>
      </c>
      <c r="G200">
        <v>13917</v>
      </c>
      <c r="H200">
        <v>2688.01</v>
      </c>
    </row>
    <row r="201" spans="1:8" hidden="1" x14ac:dyDescent="0.25">
      <c r="A201">
        <v>1493</v>
      </c>
      <c r="B201" s="5">
        <v>45425</v>
      </c>
      <c r="C201" s="2" t="s">
        <v>31</v>
      </c>
      <c r="D201" s="2" t="s">
        <v>16</v>
      </c>
      <c r="E201" s="2" t="s">
        <v>66</v>
      </c>
      <c r="F201" s="2" t="s">
        <v>50</v>
      </c>
      <c r="G201">
        <v>39948</v>
      </c>
      <c r="H201">
        <v>9797.68</v>
      </c>
    </row>
    <row r="202" spans="1:8" hidden="1" x14ac:dyDescent="0.25">
      <c r="A202">
        <v>1160</v>
      </c>
      <c r="B202" s="5">
        <v>45426</v>
      </c>
      <c r="C202" s="2" t="s">
        <v>12</v>
      </c>
      <c r="D202" s="2" t="s">
        <v>9</v>
      </c>
      <c r="E202" s="2" t="s">
        <v>10</v>
      </c>
      <c r="F202" s="2" t="s">
        <v>65</v>
      </c>
      <c r="G202">
        <v>25320</v>
      </c>
      <c r="H202">
        <v>2556.0100000000002</v>
      </c>
    </row>
    <row r="203" spans="1:8" hidden="1" x14ac:dyDescent="0.25">
      <c r="A203">
        <v>1275</v>
      </c>
      <c r="B203" s="5">
        <v>45426</v>
      </c>
      <c r="C203" s="2" t="s">
        <v>12</v>
      </c>
      <c r="D203" s="2" t="s">
        <v>16</v>
      </c>
      <c r="E203" s="2" t="s">
        <v>66</v>
      </c>
      <c r="F203" s="2" t="s">
        <v>119</v>
      </c>
      <c r="G203">
        <v>55860</v>
      </c>
      <c r="H203">
        <v>3031.2</v>
      </c>
    </row>
    <row r="204" spans="1:8" hidden="1" x14ac:dyDescent="0.25">
      <c r="A204">
        <v>1010</v>
      </c>
      <c r="B204" s="5">
        <v>45427</v>
      </c>
      <c r="C204" s="2" t="s">
        <v>21</v>
      </c>
      <c r="D204" s="2" t="s">
        <v>13</v>
      </c>
      <c r="E204" s="2" t="s">
        <v>33</v>
      </c>
      <c r="F204" s="2" t="s">
        <v>24</v>
      </c>
      <c r="G204">
        <v>49436</v>
      </c>
      <c r="H204">
        <v>9040.14</v>
      </c>
    </row>
    <row r="205" spans="1:8" hidden="1" x14ac:dyDescent="0.25">
      <c r="A205">
        <v>1137</v>
      </c>
      <c r="B205" s="5">
        <v>45427</v>
      </c>
      <c r="C205" s="2" t="s">
        <v>12</v>
      </c>
      <c r="D205" s="2" t="s">
        <v>16</v>
      </c>
      <c r="E205" s="2" t="s">
        <v>66</v>
      </c>
      <c r="F205" s="2" t="s">
        <v>55</v>
      </c>
      <c r="G205">
        <v>24951</v>
      </c>
      <c r="H205">
        <v>4133.54</v>
      </c>
    </row>
    <row r="206" spans="1:8" hidden="1" x14ac:dyDescent="0.25">
      <c r="A206">
        <v>1227</v>
      </c>
      <c r="B206" s="5">
        <v>45427</v>
      </c>
      <c r="C206" s="2" t="s">
        <v>8</v>
      </c>
      <c r="D206" s="2" t="s">
        <v>16</v>
      </c>
      <c r="E206" s="2" t="s">
        <v>66</v>
      </c>
      <c r="F206" s="2" t="s">
        <v>56</v>
      </c>
      <c r="G206">
        <v>7792</v>
      </c>
      <c r="H206">
        <v>1619.08</v>
      </c>
    </row>
    <row r="207" spans="1:8" hidden="1" x14ac:dyDescent="0.25">
      <c r="A207">
        <v>1466</v>
      </c>
      <c r="B207" s="5">
        <v>45427</v>
      </c>
      <c r="C207" s="2" t="s">
        <v>31</v>
      </c>
      <c r="D207" s="2" t="s">
        <v>9</v>
      </c>
      <c r="E207" s="2" t="s">
        <v>27</v>
      </c>
      <c r="F207" s="2" t="s">
        <v>15</v>
      </c>
      <c r="G207">
        <v>34722</v>
      </c>
      <c r="H207">
        <v>6411.55</v>
      </c>
    </row>
    <row r="208" spans="1:8" hidden="1" x14ac:dyDescent="0.25">
      <c r="A208">
        <v>1181</v>
      </c>
      <c r="B208" s="5">
        <v>45429</v>
      </c>
      <c r="C208" s="2" t="s">
        <v>8</v>
      </c>
      <c r="D208" s="2" t="s">
        <v>9</v>
      </c>
      <c r="E208" s="2" t="s">
        <v>10</v>
      </c>
      <c r="F208" s="2" t="s">
        <v>113</v>
      </c>
      <c r="G208">
        <v>11199</v>
      </c>
      <c r="H208">
        <v>635.41999999999996</v>
      </c>
    </row>
    <row r="209" spans="1:8" hidden="1" x14ac:dyDescent="0.25">
      <c r="A209">
        <v>1477</v>
      </c>
      <c r="B209" s="5">
        <v>45430</v>
      </c>
      <c r="C209" s="2" t="s">
        <v>21</v>
      </c>
      <c r="D209" s="2" t="s">
        <v>13</v>
      </c>
      <c r="E209" s="2" t="s">
        <v>22</v>
      </c>
      <c r="F209" s="2" t="s">
        <v>48</v>
      </c>
      <c r="G209">
        <v>24753</v>
      </c>
      <c r="H209">
        <v>3165.51</v>
      </c>
    </row>
    <row r="210" spans="1:8" hidden="1" x14ac:dyDescent="0.25">
      <c r="A210">
        <v>1409</v>
      </c>
      <c r="B210" s="5">
        <v>45431</v>
      </c>
      <c r="C210" s="2" t="s">
        <v>12</v>
      </c>
      <c r="D210" s="2" t="s">
        <v>13</v>
      </c>
      <c r="E210" s="2" t="s">
        <v>14</v>
      </c>
      <c r="F210" s="2" t="s">
        <v>20</v>
      </c>
      <c r="G210">
        <v>5880</v>
      </c>
      <c r="H210">
        <v>585.4</v>
      </c>
    </row>
    <row r="211" spans="1:8" hidden="1" x14ac:dyDescent="0.25">
      <c r="A211">
        <v>1343</v>
      </c>
      <c r="B211" s="5">
        <v>45432</v>
      </c>
      <c r="C211" s="2" t="s">
        <v>8</v>
      </c>
      <c r="D211" s="2" t="s">
        <v>13</v>
      </c>
      <c r="E211" s="2" t="s">
        <v>41</v>
      </c>
      <c r="F211" s="2" t="s">
        <v>24</v>
      </c>
      <c r="G211">
        <v>17896</v>
      </c>
      <c r="H211">
        <v>4433.13</v>
      </c>
    </row>
    <row r="212" spans="1:8" hidden="1" x14ac:dyDescent="0.25">
      <c r="A212">
        <v>1339</v>
      </c>
      <c r="B212" s="5">
        <v>45433</v>
      </c>
      <c r="C212" s="2" t="s">
        <v>8</v>
      </c>
      <c r="D212" s="2" t="s">
        <v>9</v>
      </c>
      <c r="E212" s="2" t="s">
        <v>35</v>
      </c>
      <c r="F212" s="2" t="s">
        <v>116</v>
      </c>
      <c r="G212">
        <v>44098</v>
      </c>
      <c r="H212">
        <v>2757.17</v>
      </c>
    </row>
    <row r="213" spans="1:8" hidden="1" x14ac:dyDescent="0.25">
      <c r="A213">
        <v>1402</v>
      </c>
      <c r="B213" s="5">
        <v>45433</v>
      </c>
      <c r="C213" s="2" t="s">
        <v>12</v>
      </c>
      <c r="D213" s="2" t="s">
        <v>13</v>
      </c>
      <c r="E213" s="2" t="s">
        <v>33</v>
      </c>
      <c r="F213" s="2" t="s">
        <v>107</v>
      </c>
      <c r="G213">
        <v>5997</v>
      </c>
      <c r="H213">
        <v>857.6</v>
      </c>
    </row>
    <row r="214" spans="1:8" hidden="1" x14ac:dyDescent="0.25">
      <c r="A214">
        <v>1235</v>
      </c>
      <c r="B214" s="5">
        <v>45435</v>
      </c>
      <c r="C214" s="2" t="s">
        <v>8</v>
      </c>
      <c r="D214" s="2" t="s">
        <v>13</v>
      </c>
      <c r="E214" s="2" t="s">
        <v>29</v>
      </c>
      <c r="F214" s="2" t="s">
        <v>116</v>
      </c>
      <c r="G214">
        <v>42215</v>
      </c>
      <c r="H214">
        <v>4484.32</v>
      </c>
    </row>
    <row r="215" spans="1:8" hidden="1" x14ac:dyDescent="0.25">
      <c r="A215">
        <v>1267</v>
      </c>
      <c r="B215" s="5">
        <v>45436</v>
      </c>
      <c r="C215" s="2" t="s">
        <v>12</v>
      </c>
      <c r="D215" s="2" t="s">
        <v>9</v>
      </c>
      <c r="E215" s="2" t="s">
        <v>19</v>
      </c>
      <c r="F215" s="2" t="s">
        <v>72</v>
      </c>
      <c r="G215">
        <v>39146</v>
      </c>
      <c r="H215">
        <v>3203.78</v>
      </c>
    </row>
    <row r="216" spans="1:8" hidden="1" x14ac:dyDescent="0.25">
      <c r="A216">
        <v>1436</v>
      </c>
      <c r="B216" s="5">
        <v>45436</v>
      </c>
      <c r="C216" s="2" t="s">
        <v>12</v>
      </c>
      <c r="D216" s="2" t="s">
        <v>9</v>
      </c>
      <c r="E216" s="2" t="s">
        <v>19</v>
      </c>
      <c r="F216" s="2" t="s">
        <v>101</v>
      </c>
      <c r="G216">
        <v>22327</v>
      </c>
      <c r="H216">
        <v>4321.54</v>
      </c>
    </row>
    <row r="217" spans="1:8" hidden="1" x14ac:dyDescent="0.25">
      <c r="A217">
        <v>1081</v>
      </c>
      <c r="B217" s="5">
        <v>45439</v>
      </c>
      <c r="C217" s="2" t="s">
        <v>12</v>
      </c>
      <c r="D217" s="2" t="s">
        <v>9</v>
      </c>
      <c r="E217" s="2" t="s">
        <v>19</v>
      </c>
      <c r="F217" s="2" t="s">
        <v>43</v>
      </c>
      <c r="G217">
        <v>21302</v>
      </c>
      <c r="H217">
        <v>2976.26</v>
      </c>
    </row>
    <row r="218" spans="1:8" hidden="1" x14ac:dyDescent="0.25">
      <c r="A218">
        <v>1349</v>
      </c>
      <c r="B218" s="5">
        <v>45439</v>
      </c>
      <c r="C218" s="2" t="s">
        <v>31</v>
      </c>
      <c r="D218" s="2" t="s">
        <v>9</v>
      </c>
      <c r="E218" s="2" t="s">
        <v>27</v>
      </c>
      <c r="F218" s="2" t="s">
        <v>85</v>
      </c>
      <c r="G218">
        <v>26721</v>
      </c>
      <c r="H218">
        <v>6597.63</v>
      </c>
    </row>
    <row r="219" spans="1:8" hidden="1" x14ac:dyDescent="0.25">
      <c r="A219">
        <v>1354</v>
      </c>
      <c r="B219" s="5">
        <v>45439</v>
      </c>
      <c r="C219" s="2" t="s">
        <v>21</v>
      </c>
      <c r="D219" s="2" t="s">
        <v>16</v>
      </c>
      <c r="E219" s="2" t="s">
        <v>47</v>
      </c>
      <c r="F219" s="2" t="s">
        <v>68</v>
      </c>
      <c r="G219">
        <v>47122</v>
      </c>
      <c r="H219">
        <v>7918.64</v>
      </c>
    </row>
    <row r="220" spans="1:8" hidden="1" x14ac:dyDescent="0.25">
      <c r="A220">
        <v>1059</v>
      </c>
      <c r="B220" s="5">
        <v>45440</v>
      </c>
      <c r="C220" s="2" t="s">
        <v>12</v>
      </c>
      <c r="D220" s="2" t="s">
        <v>13</v>
      </c>
      <c r="E220" s="2" t="s">
        <v>14</v>
      </c>
      <c r="F220" s="2" t="s">
        <v>76</v>
      </c>
      <c r="G220">
        <v>3467</v>
      </c>
      <c r="H220">
        <v>308.41000000000003</v>
      </c>
    </row>
    <row r="221" spans="1:8" hidden="1" x14ac:dyDescent="0.25">
      <c r="A221">
        <v>1271</v>
      </c>
      <c r="B221" s="5">
        <v>45440</v>
      </c>
      <c r="C221" s="2" t="s">
        <v>31</v>
      </c>
      <c r="D221" s="2" t="s">
        <v>13</v>
      </c>
      <c r="E221" s="2" t="s">
        <v>33</v>
      </c>
      <c r="F221" s="2" t="s">
        <v>24</v>
      </c>
      <c r="G221">
        <v>55273</v>
      </c>
      <c r="H221">
        <v>6147.11</v>
      </c>
    </row>
    <row r="222" spans="1:8" hidden="1" x14ac:dyDescent="0.25">
      <c r="A222">
        <v>1328</v>
      </c>
      <c r="B222" s="5">
        <v>45441</v>
      </c>
      <c r="C222" s="2" t="s">
        <v>31</v>
      </c>
      <c r="D222" s="2" t="s">
        <v>9</v>
      </c>
      <c r="E222" s="2" t="s">
        <v>10</v>
      </c>
      <c r="F222" s="2" t="s">
        <v>78</v>
      </c>
      <c r="G222">
        <v>52171</v>
      </c>
      <c r="H222">
        <v>10479.89</v>
      </c>
    </row>
    <row r="223" spans="1:8" hidden="1" x14ac:dyDescent="0.25">
      <c r="A223">
        <v>1012</v>
      </c>
      <c r="B223" s="5">
        <v>45442</v>
      </c>
      <c r="C223" s="2" t="s">
        <v>31</v>
      </c>
      <c r="D223" s="2" t="s">
        <v>9</v>
      </c>
      <c r="E223" s="2" t="s">
        <v>35</v>
      </c>
      <c r="F223" s="2" t="s">
        <v>36</v>
      </c>
      <c r="G223">
        <v>14028</v>
      </c>
      <c r="H223">
        <v>1011.12</v>
      </c>
    </row>
    <row r="224" spans="1:8" hidden="1" x14ac:dyDescent="0.25">
      <c r="A224">
        <v>1042</v>
      </c>
      <c r="B224" s="5">
        <v>45442</v>
      </c>
      <c r="C224" s="2" t="s">
        <v>21</v>
      </c>
      <c r="D224" s="2" t="s">
        <v>9</v>
      </c>
      <c r="E224" s="2" t="s">
        <v>25</v>
      </c>
      <c r="F224" s="2" t="s">
        <v>15</v>
      </c>
      <c r="G224">
        <v>13308</v>
      </c>
      <c r="H224">
        <v>1111.2</v>
      </c>
    </row>
    <row r="225" spans="1:8" hidden="1" x14ac:dyDescent="0.25">
      <c r="A225">
        <v>1439</v>
      </c>
      <c r="B225" s="5">
        <v>45442</v>
      </c>
      <c r="C225" s="2" t="s">
        <v>21</v>
      </c>
      <c r="D225" s="2" t="s">
        <v>13</v>
      </c>
      <c r="E225" s="2" t="s">
        <v>14</v>
      </c>
      <c r="F225" s="2" t="s">
        <v>52</v>
      </c>
      <c r="G225">
        <v>26600</v>
      </c>
      <c r="H225">
        <v>2217.92</v>
      </c>
    </row>
    <row r="226" spans="1:8" hidden="1" x14ac:dyDescent="0.25">
      <c r="A226">
        <v>1440</v>
      </c>
      <c r="B226" s="5">
        <v>45442</v>
      </c>
      <c r="C226" s="2" t="s">
        <v>12</v>
      </c>
      <c r="D226" s="2" t="s">
        <v>13</v>
      </c>
      <c r="E226" s="2" t="s">
        <v>41</v>
      </c>
      <c r="F226" s="2" t="s">
        <v>50</v>
      </c>
      <c r="G226">
        <v>18505</v>
      </c>
      <c r="H226">
        <v>3578.78</v>
      </c>
    </row>
    <row r="227" spans="1:8" hidden="1" x14ac:dyDescent="0.25">
      <c r="A227">
        <v>1499</v>
      </c>
      <c r="B227" s="5">
        <v>45442</v>
      </c>
      <c r="C227" s="2" t="s">
        <v>8</v>
      </c>
      <c r="D227" s="2" t="s">
        <v>13</v>
      </c>
      <c r="E227" s="2" t="s">
        <v>14</v>
      </c>
      <c r="F227" s="2" t="s">
        <v>94</v>
      </c>
      <c r="G227">
        <v>43091</v>
      </c>
      <c r="H227">
        <v>9009.73</v>
      </c>
    </row>
    <row r="228" spans="1:8" hidden="1" x14ac:dyDescent="0.25">
      <c r="A228">
        <v>1092</v>
      </c>
      <c r="B228" s="5">
        <v>45443</v>
      </c>
      <c r="C228" s="2" t="s">
        <v>21</v>
      </c>
      <c r="D228" s="2" t="s">
        <v>13</v>
      </c>
      <c r="E228" s="2" t="s">
        <v>22</v>
      </c>
      <c r="F228" s="2" t="s">
        <v>94</v>
      </c>
      <c r="G228">
        <v>7576</v>
      </c>
      <c r="H228">
        <v>1176.6400000000001</v>
      </c>
    </row>
    <row r="229" spans="1:8" hidden="1" x14ac:dyDescent="0.25">
      <c r="A229">
        <v>1438</v>
      </c>
      <c r="B229" s="5">
        <v>45443</v>
      </c>
      <c r="C229" s="2" t="s">
        <v>21</v>
      </c>
      <c r="D229" s="2" t="s">
        <v>9</v>
      </c>
      <c r="E229" s="2" t="s">
        <v>35</v>
      </c>
      <c r="F229" s="2" t="s">
        <v>26</v>
      </c>
      <c r="G229">
        <v>27038</v>
      </c>
      <c r="H229">
        <v>6136.17</v>
      </c>
    </row>
    <row r="230" spans="1:8" hidden="1" x14ac:dyDescent="0.25">
      <c r="A230">
        <v>1457</v>
      </c>
      <c r="B230" s="5">
        <v>45444</v>
      </c>
      <c r="C230" s="2" t="s">
        <v>12</v>
      </c>
      <c r="D230" s="2" t="s">
        <v>13</v>
      </c>
      <c r="E230" s="2" t="s">
        <v>29</v>
      </c>
      <c r="F230" s="2" t="s">
        <v>84</v>
      </c>
      <c r="G230">
        <v>23009</v>
      </c>
      <c r="H230">
        <v>3102.67</v>
      </c>
    </row>
    <row r="231" spans="1:8" hidden="1" x14ac:dyDescent="0.25">
      <c r="A231">
        <v>1458</v>
      </c>
      <c r="B231" s="5">
        <v>45444</v>
      </c>
      <c r="C231" s="2" t="s">
        <v>12</v>
      </c>
      <c r="D231" s="2" t="s">
        <v>16</v>
      </c>
      <c r="E231" s="2" t="s">
        <v>66</v>
      </c>
      <c r="F231" s="2" t="s">
        <v>43</v>
      </c>
      <c r="G231">
        <v>56487</v>
      </c>
      <c r="H231">
        <v>12679.01</v>
      </c>
    </row>
    <row r="232" spans="1:8" hidden="1" x14ac:dyDescent="0.25">
      <c r="A232">
        <v>1461</v>
      </c>
      <c r="B232" s="5">
        <v>45444</v>
      </c>
      <c r="C232" s="2" t="s">
        <v>21</v>
      </c>
      <c r="D232" s="2" t="s">
        <v>16</v>
      </c>
      <c r="E232" s="2" t="s">
        <v>17</v>
      </c>
      <c r="F232" s="2" t="s">
        <v>43</v>
      </c>
      <c r="G232">
        <v>38549</v>
      </c>
      <c r="H232">
        <v>7547.66</v>
      </c>
    </row>
    <row r="233" spans="1:8" hidden="1" x14ac:dyDescent="0.25">
      <c r="A233">
        <v>1038</v>
      </c>
      <c r="B233" s="5">
        <v>45445</v>
      </c>
      <c r="C233" s="2" t="s">
        <v>12</v>
      </c>
      <c r="D233" s="2" t="s">
        <v>9</v>
      </c>
      <c r="E233" s="2" t="s">
        <v>10</v>
      </c>
      <c r="F233" s="2" t="s">
        <v>60</v>
      </c>
      <c r="G233">
        <v>20002</v>
      </c>
      <c r="H233">
        <v>1129.75</v>
      </c>
    </row>
    <row r="234" spans="1:8" hidden="1" x14ac:dyDescent="0.25">
      <c r="A234">
        <v>1292</v>
      </c>
      <c r="B234" s="5">
        <v>45445</v>
      </c>
      <c r="C234" s="2" t="s">
        <v>21</v>
      </c>
      <c r="D234" s="2" t="s">
        <v>13</v>
      </c>
      <c r="E234" s="2" t="s">
        <v>14</v>
      </c>
      <c r="F234" s="2" t="s">
        <v>62</v>
      </c>
      <c r="G234">
        <v>8560</v>
      </c>
      <c r="H234">
        <v>920.03</v>
      </c>
    </row>
    <row r="235" spans="1:8" hidden="1" x14ac:dyDescent="0.25">
      <c r="A235">
        <v>1086</v>
      </c>
      <c r="B235" s="5">
        <v>45447</v>
      </c>
      <c r="C235" s="2" t="s">
        <v>12</v>
      </c>
      <c r="D235" s="2" t="s">
        <v>16</v>
      </c>
      <c r="E235" s="2" t="s">
        <v>71</v>
      </c>
      <c r="F235" s="2" t="s">
        <v>90</v>
      </c>
      <c r="G235">
        <v>49846</v>
      </c>
      <c r="H235">
        <v>3610.32</v>
      </c>
    </row>
    <row r="236" spans="1:8" hidden="1" x14ac:dyDescent="0.25">
      <c r="A236">
        <v>1310</v>
      </c>
      <c r="B236" s="5">
        <v>45447</v>
      </c>
      <c r="C236" s="2" t="s">
        <v>31</v>
      </c>
      <c r="D236" s="2" t="s">
        <v>9</v>
      </c>
      <c r="E236" s="2" t="s">
        <v>10</v>
      </c>
      <c r="F236" s="2" t="s">
        <v>63</v>
      </c>
      <c r="G236">
        <v>14111</v>
      </c>
      <c r="H236">
        <v>789.34</v>
      </c>
    </row>
    <row r="237" spans="1:8" hidden="1" x14ac:dyDescent="0.25">
      <c r="A237">
        <v>1152</v>
      </c>
      <c r="B237" s="5">
        <v>45448</v>
      </c>
      <c r="C237" s="2" t="s">
        <v>12</v>
      </c>
      <c r="D237" s="2" t="s">
        <v>16</v>
      </c>
      <c r="E237" s="2" t="s">
        <v>17</v>
      </c>
      <c r="F237" s="2" t="s">
        <v>92</v>
      </c>
      <c r="G237">
        <v>47470</v>
      </c>
      <c r="H237">
        <v>8690.86</v>
      </c>
    </row>
    <row r="238" spans="1:8" hidden="1" x14ac:dyDescent="0.25">
      <c r="A238">
        <v>1000</v>
      </c>
      <c r="B238" s="5">
        <v>45452</v>
      </c>
      <c r="C238" s="2" t="s">
        <v>8</v>
      </c>
      <c r="D238" s="2" t="s">
        <v>9</v>
      </c>
      <c r="E238" s="2" t="s">
        <v>10</v>
      </c>
      <c r="F238" s="2" t="s">
        <v>11</v>
      </c>
      <c r="G238">
        <v>23325</v>
      </c>
      <c r="H238">
        <v>5162.21</v>
      </c>
    </row>
    <row r="239" spans="1:8" hidden="1" x14ac:dyDescent="0.25">
      <c r="A239">
        <v>1082</v>
      </c>
      <c r="B239" s="5">
        <v>45452</v>
      </c>
      <c r="C239" s="2" t="s">
        <v>8</v>
      </c>
      <c r="D239" s="2" t="s">
        <v>9</v>
      </c>
      <c r="E239" s="2" t="s">
        <v>25</v>
      </c>
      <c r="F239" s="2" t="s">
        <v>86</v>
      </c>
      <c r="G239">
        <v>44717</v>
      </c>
      <c r="H239">
        <v>8899.94</v>
      </c>
    </row>
    <row r="240" spans="1:8" hidden="1" x14ac:dyDescent="0.25">
      <c r="A240">
        <v>1306</v>
      </c>
      <c r="B240" s="5">
        <v>45452</v>
      </c>
      <c r="C240" s="2" t="s">
        <v>21</v>
      </c>
      <c r="D240" s="2" t="s">
        <v>9</v>
      </c>
      <c r="E240" s="2" t="s">
        <v>27</v>
      </c>
      <c r="F240" s="2" t="s">
        <v>89</v>
      </c>
      <c r="G240">
        <v>37078</v>
      </c>
      <c r="H240">
        <v>7483.32</v>
      </c>
    </row>
    <row r="241" spans="1:8" hidden="1" x14ac:dyDescent="0.25">
      <c r="A241">
        <v>1176</v>
      </c>
      <c r="B241" s="5">
        <v>45453</v>
      </c>
      <c r="C241" s="2" t="s">
        <v>21</v>
      </c>
      <c r="D241" s="2" t="s">
        <v>16</v>
      </c>
      <c r="E241" s="2" t="s">
        <v>71</v>
      </c>
      <c r="F241" s="2" t="s">
        <v>83</v>
      </c>
      <c r="G241">
        <v>41650</v>
      </c>
      <c r="H241">
        <v>4013.05</v>
      </c>
    </row>
    <row r="242" spans="1:8" hidden="1" x14ac:dyDescent="0.25">
      <c r="A242">
        <v>1340</v>
      </c>
      <c r="B242" s="5">
        <v>45453</v>
      </c>
      <c r="C242" s="2" t="s">
        <v>12</v>
      </c>
      <c r="D242" s="2" t="s">
        <v>16</v>
      </c>
      <c r="E242" s="2" t="s">
        <v>66</v>
      </c>
      <c r="F242" s="2" t="s">
        <v>65</v>
      </c>
      <c r="G242">
        <v>54668</v>
      </c>
      <c r="H242">
        <v>3445.78</v>
      </c>
    </row>
    <row r="243" spans="1:8" hidden="1" x14ac:dyDescent="0.25">
      <c r="A243">
        <v>1014</v>
      </c>
      <c r="B243" s="5">
        <v>45454</v>
      </c>
      <c r="C243" s="2" t="s">
        <v>21</v>
      </c>
      <c r="D243" s="2" t="s">
        <v>9</v>
      </c>
      <c r="E243" s="2" t="s">
        <v>10</v>
      </c>
      <c r="F243" s="2" t="s">
        <v>38</v>
      </c>
      <c r="G243">
        <v>13669</v>
      </c>
      <c r="H243">
        <v>2437.15</v>
      </c>
    </row>
    <row r="244" spans="1:8" hidden="1" x14ac:dyDescent="0.25">
      <c r="A244">
        <v>1318</v>
      </c>
      <c r="B244" s="5">
        <v>45454</v>
      </c>
      <c r="C244" s="2" t="s">
        <v>8</v>
      </c>
      <c r="D244" s="2" t="s">
        <v>13</v>
      </c>
      <c r="E244" s="2" t="s">
        <v>14</v>
      </c>
      <c r="F244" s="2" t="s">
        <v>124</v>
      </c>
      <c r="G244">
        <v>26313</v>
      </c>
      <c r="H244">
        <v>1543.29</v>
      </c>
    </row>
    <row r="245" spans="1:8" hidden="1" x14ac:dyDescent="0.25">
      <c r="A245">
        <v>1460</v>
      </c>
      <c r="B245" s="5">
        <v>45456</v>
      </c>
      <c r="C245" s="2" t="s">
        <v>8</v>
      </c>
      <c r="D245" s="2" t="s">
        <v>9</v>
      </c>
      <c r="E245" s="2" t="s">
        <v>25</v>
      </c>
      <c r="F245" s="2" t="s">
        <v>99</v>
      </c>
      <c r="G245">
        <v>50191</v>
      </c>
      <c r="H245">
        <v>12541.14</v>
      </c>
    </row>
    <row r="246" spans="1:8" hidden="1" x14ac:dyDescent="0.25">
      <c r="A246">
        <v>1054</v>
      </c>
      <c r="B246" s="5">
        <v>45458</v>
      </c>
      <c r="C246" s="2" t="s">
        <v>8</v>
      </c>
      <c r="D246" s="2" t="s">
        <v>13</v>
      </c>
      <c r="E246" s="2" t="s">
        <v>41</v>
      </c>
      <c r="F246" s="2" t="s">
        <v>69</v>
      </c>
      <c r="G246">
        <v>52012</v>
      </c>
      <c r="H246">
        <v>10768.81</v>
      </c>
    </row>
    <row r="247" spans="1:8" hidden="1" x14ac:dyDescent="0.25">
      <c r="A247">
        <v>1191</v>
      </c>
      <c r="B247" s="5">
        <v>45459</v>
      </c>
      <c r="C247" s="2" t="s">
        <v>31</v>
      </c>
      <c r="D247" s="2" t="s">
        <v>13</v>
      </c>
      <c r="E247" s="2" t="s">
        <v>29</v>
      </c>
      <c r="F247" s="2" t="s">
        <v>51</v>
      </c>
      <c r="G247">
        <v>14666</v>
      </c>
      <c r="H247">
        <v>2021.99</v>
      </c>
    </row>
    <row r="248" spans="1:8" hidden="1" x14ac:dyDescent="0.25">
      <c r="A248">
        <v>1223</v>
      </c>
      <c r="B248" s="5">
        <v>45459</v>
      </c>
      <c r="C248" s="2" t="s">
        <v>31</v>
      </c>
      <c r="D248" s="2" t="s">
        <v>9</v>
      </c>
      <c r="E248" s="2" t="s">
        <v>35</v>
      </c>
      <c r="F248" s="2" t="s">
        <v>34</v>
      </c>
      <c r="G248">
        <v>41996</v>
      </c>
      <c r="H248">
        <v>7351.57</v>
      </c>
    </row>
    <row r="249" spans="1:8" hidden="1" x14ac:dyDescent="0.25">
      <c r="A249">
        <v>1348</v>
      </c>
      <c r="B249" s="5">
        <v>45460</v>
      </c>
      <c r="C249" s="2" t="s">
        <v>31</v>
      </c>
      <c r="D249" s="2" t="s">
        <v>13</v>
      </c>
      <c r="E249" s="2" t="s">
        <v>41</v>
      </c>
      <c r="F249" s="2" t="s">
        <v>36</v>
      </c>
      <c r="G249">
        <v>3621</v>
      </c>
      <c r="H249">
        <v>641.78</v>
      </c>
    </row>
    <row r="250" spans="1:8" hidden="1" x14ac:dyDescent="0.25">
      <c r="A250">
        <v>1483</v>
      </c>
      <c r="B250" s="5">
        <v>45461</v>
      </c>
      <c r="C250" s="2" t="s">
        <v>8</v>
      </c>
      <c r="D250" s="2" t="s">
        <v>16</v>
      </c>
      <c r="E250" s="2" t="s">
        <v>71</v>
      </c>
      <c r="F250" s="2" t="s">
        <v>69</v>
      </c>
      <c r="G250">
        <v>25275</v>
      </c>
      <c r="H250">
        <v>1631.35</v>
      </c>
    </row>
    <row r="251" spans="1:8" hidden="1" x14ac:dyDescent="0.25">
      <c r="A251">
        <v>1162</v>
      </c>
      <c r="B251" s="5">
        <v>45462</v>
      </c>
      <c r="C251" s="2" t="s">
        <v>8</v>
      </c>
      <c r="D251" s="2" t="s">
        <v>16</v>
      </c>
      <c r="E251" s="2" t="s">
        <v>47</v>
      </c>
      <c r="F251" s="2" t="s">
        <v>94</v>
      </c>
      <c r="G251">
        <v>26171</v>
      </c>
      <c r="H251">
        <v>3922.44</v>
      </c>
    </row>
    <row r="252" spans="1:8" hidden="1" x14ac:dyDescent="0.25">
      <c r="A252">
        <v>1007</v>
      </c>
      <c r="B252" s="5">
        <v>45465</v>
      </c>
      <c r="C252" s="2" t="s">
        <v>12</v>
      </c>
      <c r="D252" s="2" t="s">
        <v>9</v>
      </c>
      <c r="E252" s="2" t="s">
        <v>27</v>
      </c>
      <c r="F252" s="2" t="s">
        <v>28</v>
      </c>
      <c r="G252">
        <v>22018</v>
      </c>
      <c r="H252">
        <v>2027.66</v>
      </c>
    </row>
    <row r="253" spans="1:8" hidden="1" x14ac:dyDescent="0.25">
      <c r="A253">
        <v>1091</v>
      </c>
      <c r="B253" s="5">
        <v>45466</v>
      </c>
      <c r="C253" s="2" t="s">
        <v>21</v>
      </c>
      <c r="D253" s="2" t="s">
        <v>16</v>
      </c>
      <c r="E253" s="2" t="s">
        <v>71</v>
      </c>
      <c r="F253" s="2" t="s">
        <v>79</v>
      </c>
      <c r="G253">
        <v>58497</v>
      </c>
      <c r="H253">
        <v>13483.8</v>
      </c>
    </row>
    <row r="254" spans="1:8" hidden="1" x14ac:dyDescent="0.25">
      <c r="A254">
        <v>1452</v>
      </c>
      <c r="B254" s="5">
        <v>45466</v>
      </c>
      <c r="C254" s="2" t="s">
        <v>12</v>
      </c>
      <c r="D254" s="2" t="s">
        <v>16</v>
      </c>
      <c r="E254" s="2" t="s">
        <v>66</v>
      </c>
      <c r="F254" s="2" t="s">
        <v>126</v>
      </c>
      <c r="G254">
        <v>36884</v>
      </c>
      <c r="H254">
        <v>4359.3100000000004</v>
      </c>
    </row>
    <row r="255" spans="1:8" hidden="1" x14ac:dyDescent="0.25">
      <c r="A255">
        <v>1274</v>
      </c>
      <c r="B255" s="5">
        <v>45467</v>
      </c>
      <c r="C255" s="2" t="s">
        <v>31</v>
      </c>
      <c r="D255" s="2" t="s">
        <v>9</v>
      </c>
      <c r="E255" s="2" t="s">
        <v>27</v>
      </c>
      <c r="F255" s="2" t="s">
        <v>58</v>
      </c>
      <c r="G255">
        <v>28596</v>
      </c>
      <c r="H255">
        <v>2061.83</v>
      </c>
    </row>
    <row r="256" spans="1:8" hidden="1" x14ac:dyDescent="0.25">
      <c r="A256">
        <v>1426</v>
      </c>
      <c r="B256" s="5">
        <v>45468</v>
      </c>
      <c r="C256" s="2" t="s">
        <v>12</v>
      </c>
      <c r="D256" s="2" t="s">
        <v>13</v>
      </c>
      <c r="E256" s="2" t="s">
        <v>22</v>
      </c>
      <c r="F256" s="2" t="s">
        <v>28</v>
      </c>
      <c r="G256">
        <v>43501</v>
      </c>
      <c r="H256">
        <v>4100.1499999999996</v>
      </c>
    </row>
    <row r="257" spans="1:8" hidden="1" x14ac:dyDescent="0.25">
      <c r="A257">
        <v>1115</v>
      </c>
      <c r="B257" s="5">
        <v>45469</v>
      </c>
      <c r="C257" s="2" t="s">
        <v>8</v>
      </c>
      <c r="D257" s="2" t="s">
        <v>9</v>
      </c>
      <c r="E257" s="2" t="s">
        <v>10</v>
      </c>
      <c r="F257" s="2" t="s">
        <v>56</v>
      </c>
      <c r="G257">
        <v>53995</v>
      </c>
      <c r="H257">
        <v>4219.8599999999997</v>
      </c>
    </row>
    <row r="258" spans="1:8" hidden="1" x14ac:dyDescent="0.25">
      <c r="A258">
        <v>1217</v>
      </c>
      <c r="B258" s="5">
        <v>45469</v>
      </c>
      <c r="C258" s="2" t="s">
        <v>21</v>
      </c>
      <c r="D258" s="2" t="s">
        <v>16</v>
      </c>
      <c r="E258" s="2" t="s">
        <v>66</v>
      </c>
      <c r="F258" s="2" t="s">
        <v>49</v>
      </c>
      <c r="G258">
        <v>42673</v>
      </c>
      <c r="H258">
        <v>5665.2</v>
      </c>
    </row>
    <row r="259" spans="1:8" hidden="1" x14ac:dyDescent="0.25">
      <c r="A259">
        <v>1334</v>
      </c>
      <c r="B259" s="5">
        <v>45469</v>
      </c>
      <c r="C259" s="2" t="s">
        <v>8</v>
      </c>
      <c r="D259" s="2" t="s">
        <v>16</v>
      </c>
      <c r="E259" s="2" t="s">
        <v>44</v>
      </c>
      <c r="F259" s="2" t="s">
        <v>89</v>
      </c>
      <c r="G259">
        <v>7104</v>
      </c>
      <c r="H259">
        <v>1034.1199999999999</v>
      </c>
    </row>
    <row r="260" spans="1:8" hidden="1" x14ac:dyDescent="0.25">
      <c r="A260">
        <v>1200</v>
      </c>
      <c r="B260" s="5">
        <v>45470</v>
      </c>
      <c r="C260" s="2" t="s">
        <v>31</v>
      </c>
      <c r="D260" s="2" t="s">
        <v>16</v>
      </c>
      <c r="E260" s="2" t="s">
        <v>17</v>
      </c>
      <c r="F260" s="2" t="s">
        <v>64</v>
      </c>
      <c r="G260">
        <v>57906</v>
      </c>
      <c r="H260">
        <v>9412.76</v>
      </c>
    </row>
    <row r="261" spans="1:8" hidden="1" x14ac:dyDescent="0.25">
      <c r="A261">
        <v>1380</v>
      </c>
      <c r="B261" s="5">
        <v>45470</v>
      </c>
      <c r="C261" s="2" t="s">
        <v>21</v>
      </c>
      <c r="D261" s="2" t="s">
        <v>16</v>
      </c>
      <c r="E261" s="2" t="s">
        <v>44</v>
      </c>
      <c r="F261" s="2" t="s">
        <v>111</v>
      </c>
      <c r="G261">
        <v>4589</v>
      </c>
      <c r="H261">
        <v>808.74</v>
      </c>
    </row>
    <row r="262" spans="1:8" hidden="1" x14ac:dyDescent="0.25">
      <c r="A262">
        <v>1455</v>
      </c>
      <c r="B262" s="5">
        <v>45470</v>
      </c>
      <c r="C262" s="2" t="s">
        <v>8</v>
      </c>
      <c r="D262" s="2" t="s">
        <v>16</v>
      </c>
      <c r="E262" s="2" t="s">
        <v>66</v>
      </c>
      <c r="F262" s="2" t="s">
        <v>37</v>
      </c>
      <c r="G262">
        <v>57680</v>
      </c>
      <c r="H262">
        <v>13248.61</v>
      </c>
    </row>
    <row r="263" spans="1:8" hidden="1" x14ac:dyDescent="0.25">
      <c r="A263">
        <v>1387</v>
      </c>
      <c r="B263" s="5">
        <v>45471</v>
      </c>
      <c r="C263" s="2" t="s">
        <v>21</v>
      </c>
      <c r="D263" s="2" t="s">
        <v>16</v>
      </c>
      <c r="E263" s="2" t="s">
        <v>71</v>
      </c>
      <c r="F263" s="2" t="s">
        <v>83</v>
      </c>
      <c r="G263">
        <v>15157</v>
      </c>
      <c r="H263">
        <v>759.11</v>
      </c>
    </row>
    <row r="264" spans="1:8" hidden="1" x14ac:dyDescent="0.25">
      <c r="A264">
        <v>1447</v>
      </c>
      <c r="B264" s="5">
        <v>45471</v>
      </c>
      <c r="C264" s="2" t="s">
        <v>31</v>
      </c>
      <c r="D264" s="2" t="s">
        <v>9</v>
      </c>
      <c r="E264" s="2" t="s">
        <v>19</v>
      </c>
      <c r="F264" s="2" t="s">
        <v>56</v>
      </c>
      <c r="G264">
        <v>31175</v>
      </c>
      <c r="H264">
        <v>7747.37</v>
      </c>
    </row>
    <row r="265" spans="1:8" hidden="1" x14ac:dyDescent="0.25">
      <c r="A265">
        <v>1446</v>
      </c>
      <c r="B265" s="5">
        <v>45472</v>
      </c>
      <c r="C265" s="2" t="s">
        <v>21</v>
      </c>
      <c r="D265" s="2" t="s">
        <v>9</v>
      </c>
      <c r="E265" s="2" t="s">
        <v>10</v>
      </c>
      <c r="F265" s="2" t="s">
        <v>30</v>
      </c>
      <c r="G265">
        <v>43407</v>
      </c>
      <c r="H265">
        <v>8545.92</v>
      </c>
    </row>
    <row r="266" spans="1:8" hidden="1" x14ac:dyDescent="0.25">
      <c r="A266">
        <v>1107</v>
      </c>
      <c r="B266" s="5">
        <v>45473</v>
      </c>
      <c r="C266" s="2" t="s">
        <v>8</v>
      </c>
      <c r="D266" s="2" t="s">
        <v>13</v>
      </c>
      <c r="E266" s="2" t="s">
        <v>29</v>
      </c>
      <c r="F266" s="2" t="s">
        <v>57</v>
      </c>
      <c r="G266">
        <v>53373</v>
      </c>
      <c r="H266">
        <v>12868.12</v>
      </c>
    </row>
    <row r="267" spans="1:8" hidden="1" x14ac:dyDescent="0.25">
      <c r="A267">
        <v>1126</v>
      </c>
      <c r="B267" s="5">
        <v>45473</v>
      </c>
      <c r="C267" s="2" t="s">
        <v>12</v>
      </c>
      <c r="D267" s="2" t="s">
        <v>9</v>
      </c>
      <c r="E267" s="2" t="s">
        <v>27</v>
      </c>
      <c r="F267" s="2" t="s">
        <v>103</v>
      </c>
      <c r="G267">
        <v>32553</v>
      </c>
      <c r="H267">
        <v>3504.56</v>
      </c>
    </row>
    <row r="268" spans="1:8" hidden="1" x14ac:dyDescent="0.25">
      <c r="A268">
        <v>1336</v>
      </c>
      <c r="B268" s="5">
        <v>45473</v>
      </c>
      <c r="C268" s="2" t="s">
        <v>21</v>
      </c>
      <c r="D268" s="2" t="s">
        <v>13</v>
      </c>
      <c r="E268" s="2" t="s">
        <v>41</v>
      </c>
      <c r="F268" s="2" t="s">
        <v>105</v>
      </c>
      <c r="G268">
        <v>54918</v>
      </c>
      <c r="H268">
        <v>9652.2800000000007</v>
      </c>
    </row>
    <row r="269" spans="1:8" hidden="1" x14ac:dyDescent="0.25">
      <c r="A269">
        <v>1226</v>
      </c>
      <c r="B269" s="5">
        <v>45474</v>
      </c>
      <c r="C269" s="2" t="s">
        <v>12</v>
      </c>
      <c r="D269" s="2" t="s">
        <v>13</v>
      </c>
      <c r="E269" s="2" t="s">
        <v>14</v>
      </c>
      <c r="F269" s="2" t="s">
        <v>18</v>
      </c>
      <c r="G269">
        <v>3277</v>
      </c>
      <c r="H269">
        <v>271.48</v>
      </c>
    </row>
    <row r="270" spans="1:8" hidden="1" x14ac:dyDescent="0.25">
      <c r="A270">
        <v>1286</v>
      </c>
      <c r="B270" s="5">
        <v>45474</v>
      </c>
      <c r="C270" s="2" t="s">
        <v>21</v>
      </c>
      <c r="D270" s="2" t="s">
        <v>13</v>
      </c>
      <c r="E270" s="2" t="s">
        <v>22</v>
      </c>
      <c r="F270" s="2" t="s">
        <v>54</v>
      </c>
      <c r="G270">
        <v>37696</v>
      </c>
      <c r="H270">
        <v>8351.61</v>
      </c>
    </row>
    <row r="271" spans="1:8" hidden="1" x14ac:dyDescent="0.25">
      <c r="A271">
        <v>1040</v>
      </c>
      <c r="B271" s="5">
        <v>45475</v>
      </c>
      <c r="C271" s="2" t="s">
        <v>31</v>
      </c>
      <c r="D271" s="2" t="s">
        <v>9</v>
      </c>
      <c r="E271" s="2" t="s">
        <v>25</v>
      </c>
      <c r="F271" s="2" t="s">
        <v>62</v>
      </c>
      <c r="G271">
        <v>16780</v>
      </c>
      <c r="H271">
        <v>2014.01</v>
      </c>
    </row>
    <row r="272" spans="1:8" hidden="1" x14ac:dyDescent="0.25">
      <c r="A272">
        <v>1158</v>
      </c>
      <c r="B272" s="5">
        <v>45475</v>
      </c>
      <c r="C272" s="2" t="s">
        <v>21</v>
      </c>
      <c r="D272" s="2" t="s">
        <v>13</v>
      </c>
      <c r="E272" s="2" t="s">
        <v>22</v>
      </c>
      <c r="F272" s="2" t="s">
        <v>24</v>
      </c>
      <c r="G272">
        <v>23450</v>
      </c>
      <c r="H272">
        <v>3725.18</v>
      </c>
    </row>
    <row r="273" spans="1:8" hidden="1" x14ac:dyDescent="0.25">
      <c r="A273">
        <v>1256</v>
      </c>
      <c r="B273" s="5">
        <v>45476</v>
      </c>
      <c r="C273" s="2" t="s">
        <v>31</v>
      </c>
      <c r="D273" s="2" t="s">
        <v>9</v>
      </c>
      <c r="E273" s="2" t="s">
        <v>35</v>
      </c>
      <c r="F273" s="2" t="s">
        <v>37</v>
      </c>
      <c r="G273">
        <v>47923</v>
      </c>
      <c r="H273">
        <v>5586.64</v>
      </c>
    </row>
    <row r="274" spans="1:8" hidden="1" x14ac:dyDescent="0.25">
      <c r="A274">
        <v>1389</v>
      </c>
      <c r="B274" s="5">
        <v>45476</v>
      </c>
      <c r="C274" s="2" t="s">
        <v>21</v>
      </c>
      <c r="D274" s="2" t="s">
        <v>9</v>
      </c>
      <c r="E274" s="2" t="s">
        <v>25</v>
      </c>
      <c r="F274" s="2" t="s">
        <v>116</v>
      </c>
      <c r="G274">
        <v>58579</v>
      </c>
      <c r="H274">
        <v>4285.68</v>
      </c>
    </row>
    <row r="275" spans="1:8" hidden="1" x14ac:dyDescent="0.25">
      <c r="A275">
        <v>1073</v>
      </c>
      <c r="B275" s="5">
        <v>45478</v>
      </c>
      <c r="C275" s="2" t="s">
        <v>21</v>
      </c>
      <c r="D275" s="2" t="s">
        <v>16</v>
      </c>
      <c r="E275" s="2" t="s">
        <v>17</v>
      </c>
      <c r="F275" s="2" t="s">
        <v>67</v>
      </c>
      <c r="G275">
        <v>612</v>
      </c>
      <c r="H275">
        <v>84.05</v>
      </c>
    </row>
    <row r="276" spans="1:8" hidden="1" x14ac:dyDescent="0.25">
      <c r="A276">
        <v>1473</v>
      </c>
      <c r="B276" s="5">
        <v>45478</v>
      </c>
      <c r="C276" s="2" t="s">
        <v>12</v>
      </c>
      <c r="D276" s="2" t="s">
        <v>16</v>
      </c>
      <c r="E276" s="2" t="s">
        <v>44</v>
      </c>
      <c r="F276" s="2" t="s">
        <v>53</v>
      </c>
      <c r="G276">
        <v>28696</v>
      </c>
      <c r="H276">
        <v>6696.57</v>
      </c>
    </row>
    <row r="277" spans="1:8" hidden="1" x14ac:dyDescent="0.25">
      <c r="A277">
        <v>1478</v>
      </c>
      <c r="B277" s="5">
        <v>45479</v>
      </c>
      <c r="C277" s="2" t="s">
        <v>8</v>
      </c>
      <c r="D277" s="2" t="s">
        <v>16</v>
      </c>
      <c r="E277" s="2" t="s">
        <v>66</v>
      </c>
      <c r="F277" s="2" t="s">
        <v>103</v>
      </c>
      <c r="G277">
        <v>2558</v>
      </c>
      <c r="H277">
        <v>504.89</v>
      </c>
    </row>
    <row r="278" spans="1:8" hidden="1" x14ac:dyDescent="0.25">
      <c r="A278">
        <v>1061</v>
      </c>
      <c r="B278" s="5">
        <v>45480</v>
      </c>
      <c r="C278" s="2" t="s">
        <v>21</v>
      </c>
      <c r="D278" s="2" t="s">
        <v>16</v>
      </c>
      <c r="E278" s="2" t="s">
        <v>71</v>
      </c>
      <c r="F278" s="2" t="s">
        <v>78</v>
      </c>
      <c r="G278">
        <v>58595</v>
      </c>
      <c r="H278">
        <v>7982.96</v>
      </c>
    </row>
    <row r="279" spans="1:8" hidden="1" x14ac:dyDescent="0.25">
      <c r="A279">
        <v>1025</v>
      </c>
      <c r="B279" s="5">
        <v>45481</v>
      </c>
      <c r="C279" s="2" t="s">
        <v>12</v>
      </c>
      <c r="D279" s="2" t="s">
        <v>13</v>
      </c>
      <c r="E279" s="2" t="s">
        <v>22</v>
      </c>
      <c r="F279" s="2" t="s">
        <v>24</v>
      </c>
      <c r="G279">
        <v>3381</v>
      </c>
      <c r="H279">
        <v>317.88</v>
      </c>
    </row>
    <row r="280" spans="1:8" hidden="1" x14ac:dyDescent="0.25">
      <c r="A280">
        <v>1492</v>
      </c>
      <c r="B280" s="5">
        <v>45481</v>
      </c>
      <c r="C280" s="2" t="s">
        <v>31</v>
      </c>
      <c r="D280" s="2" t="s">
        <v>13</v>
      </c>
      <c r="E280" s="2" t="s">
        <v>41</v>
      </c>
      <c r="F280" s="2" t="s">
        <v>86</v>
      </c>
      <c r="G280">
        <v>11955</v>
      </c>
      <c r="H280">
        <v>2064.2199999999998</v>
      </c>
    </row>
    <row r="281" spans="1:8" hidden="1" x14ac:dyDescent="0.25">
      <c r="A281">
        <v>1028</v>
      </c>
      <c r="B281" s="5">
        <v>45482</v>
      </c>
      <c r="C281" s="2" t="s">
        <v>12</v>
      </c>
      <c r="D281" s="2" t="s">
        <v>13</v>
      </c>
      <c r="E281" s="2" t="s">
        <v>14</v>
      </c>
      <c r="F281" s="2" t="s">
        <v>23</v>
      </c>
      <c r="G281">
        <v>23542</v>
      </c>
      <c r="H281">
        <v>3347.14</v>
      </c>
    </row>
    <row r="282" spans="1:8" hidden="1" x14ac:dyDescent="0.25">
      <c r="A282">
        <v>1113</v>
      </c>
      <c r="B282" s="5">
        <v>45482</v>
      </c>
      <c r="C282" s="2" t="s">
        <v>31</v>
      </c>
      <c r="D282" s="2" t="s">
        <v>9</v>
      </c>
      <c r="E282" s="2" t="s">
        <v>27</v>
      </c>
      <c r="F282" s="2" t="s">
        <v>101</v>
      </c>
      <c r="G282">
        <v>4017</v>
      </c>
      <c r="H282">
        <v>956.51</v>
      </c>
    </row>
    <row r="283" spans="1:8" hidden="1" x14ac:dyDescent="0.25">
      <c r="A283">
        <v>1317</v>
      </c>
      <c r="B283" s="5">
        <v>45483</v>
      </c>
      <c r="C283" s="2" t="s">
        <v>8</v>
      </c>
      <c r="D283" s="2" t="s">
        <v>13</v>
      </c>
      <c r="E283" s="2" t="s">
        <v>22</v>
      </c>
      <c r="F283" s="2" t="s">
        <v>111</v>
      </c>
      <c r="G283">
        <v>44964</v>
      </c>
      <c r="H283">
        <v>2383.6</v>
      </c>
    </row>
    <row r="284" spans="1:8" hidden="1" x14ac:dyDescent="0.25">
      <c r="A284">
        <v>1008</v>
      </c>
      <c r="B284" s="5">
        <v>45484</v>
      </c>
      <c r="C284" s="2" t="s">
        <v>21</v>
      </c>
      <c r="D284" s="2" t="s">
        <v>13</v>
      </c>
      <c r="E284" s="2" t="s">
        <v>29</v>
      </c>
      <c r="F284" s="2" t="s">
        <v>30</v>
      </c>
      <c r="G284">
        <v>6031</v>
      </c>
      <c r="H284">
        <v>1469.33</v>
      </c>
    </row>
    <row r="285" spans="1:8" hidden="1" x14ac:dyDescent="0.25">
      <c r="A285">
        <v>1083</v>
      </c>
      <c r="B285" s="5">
        <v>45485</v>
      </c>
      <c r="C285" s="2" t="s">
        <v>12</v>
      </c>
      <c r="D285" s="2" t="s">
        <v>13</v>
      </c>
      <c r="E285" s="2" t="s">
        <v>41</v>
      </c>
      <c r="F285" s="2" t="s">
        <v>87</v>
      </c>
      <c r="G285">
        <v>1778</v>
      </c>
      <c r="H285">
        <v>356.76</v>
      </c>
    </row>
    <row r="286" spans="1:8" hidden="1" x14ac:dyDescent="0.25">
      <c r="A286">
        <v>1316</v>
      </c>
      <c r="B286" s="5">
        <v>45485</v>
      </c>
      <c r="C286" s="2" t="s">
        <v>31</v>
      </c>
      <c r="D286" s="2" t="s">
        <v>9</v>
      </c>
      <c r="E286" s="2" t="s">
        <v>10</v>
      </c>
      <c r="F286" s="2" t="s">
        <v>63</v>
      </c>
      <c r="G286">
        <v>18534</v>
      </c>
      <c r="H286">
        <v>3603.13</v>
      </c>
    </row>
    <row r="287" spans="1:8" hidden="1" x14ac:dyDescent="0.25">
      <c r="A287">
        <v>1412</v>
      </c>
      <c r="B287" s="5">
        <v>45485</v>
      </c>
      <c r="C287" s="2" t="s">
        <v>31</v>
      </c>
      <c r="D287" s="2" t="s">
        <v>9</v>
      </c>
      <c r="E287" s="2" t="s">
        <v>10</v>
      </c>
      <c r="F287" s="2" t="s">
        <v>54</v>
      </c>
      <c r="G287">
        <v>5125</v>
      </c>
      <c r="H287">
        <v>499.59</v>
      </c>
    </row>
    <row r="288" spans="1:8" hidden="1" x14ac:dyDescent="0.25">
      <c r="A288">
        <v>1363</v>
      </c>
      <c r="B288" s="5">
        <v>45487</v>
      </c>
      <c r="C288" s="2" t="s">
        <v>12</v>
      </c>
      <c r="D288" s="2" t="s">
        <v>13</v>
      </c>
      <c r="E288" s="2" t="s">
        <v>22</v>
      </c>
      <c r="F288" s="2" t="s">
        <v>127</v>
      </c>
      <c r="G288">
        <v>34442</v>
      </c>
      <c r="H288">
        <v>5745.94</v>
      </c>
    </row>
    <row r="289" spans="1:8" hidden="1" x14ac:dyDescent="0.25">
      <c r="A289">
        <v>1403</v>
      </c>
      <c r="B289" s="5">
        <v>45487</v>
      </c>
      <c r="C289" s="2" t="s">
        <v>31</v>
      </c>
      <c r="D289" s="2" t="s">
        <v>13</v>
      </c>
      <c r="E289" s="2" t="s">
        <v>33</v>
      </c>
      <c r="F289" s="2" t="s">
        <v>56</v>
      </c>
      <c r="G289">
        <v>54745</v>
      </c>
      <c r="H289">
        <v>8008.15</v>
      </c>
    </row>
    <row r="290" spans="1:8" hidden="1" x14ac:dyDescent="0.25">
      <c r="A290">
        <v>1199</v>
      </c>
      <c r="B290" s="5">
        <v>45489</v>
      </c>
      <c r="C290" s="2" t="s">
        <v>8</v>
      </c>
      <c r="D290" s="2" t="s">
        <v>16</v>
      </c>
      <c r="E290" s="2" t="s">
        <v>44</v>
      </c>
      <c r="F290" s="2" t="s">
        <v>78</v>
      </c>
      <c r="G290">
        <v>7171</v>
      </c>
      <c r="H290">
        <v>580.53</v>
      </c>
    </row>
    <row r="291" spans="1:8" hidden="1" x14ac:dyDescent="0.25">
      <c r="A291">
        <v>1251</v>
      </c>
      <c r="B291" s="5">
        <v>45489</v>
      </c>
      <c r="C291" s="2" t="s">
        <v>8</v>
      </c>
      <c r="D291" s="2" t="s">
        <v>13</v>
      </c>
      <c r="E291" s="2" t="s">
        <v>22</v>
      </c>
      <c r="F291" s="2" t="s">
        <v>56</v>
      </c>
      <c r="G291">
        <v>6952</v>
      </c>
      <c r="H291">
        <v>1307.3399999999999</v>
      </c>
    </row>
    <row r="292" spans="1:8" hidden="1" x14ac:dyDescent="0.25">
      <c r="A292">
        <v>1468</v>
      </c>
      <c r="B292" s="5">
        <v>45489</v>
      </c>
      <c r="C292" s="2" t="s">
        <v>8</v>
      </c>
      <c r="D292" s="2" t="s">
        <v>13</v>
      </c>
      <c r="E292" s="2" t="s">
        <v>29</v>
      </c>
      <c r="F292" s="2" t="s">
        <v>76</v>
      </c>
      <c r="G292">
        <v>28248</v>
      </c>
      <c r="H292">
        <v>5593.69</v>
      </c>
    </row>
    <row r="293" spans="1:8" hidden="1" x14ac:dyDescent="0.25">
      <c r="A293">
        <v>1108</v>
      </c>
      <c r="B293" s="5">
        <v>45490</v>
      </c>
      <c r="C293" s="2" t="s">
        <v>31</v>
      </c>
      <c r="D293" s="2" t="s">
        <v>13</v>
      </c>
      <c r="E293" s="2" t="s">
        <v>14</v>
      </c>
      <c r="F293" s="2" t="s">
        <v>72</v>
      </c>
      <c r="G293">
        <v>18401</v>
      </c>
      <c r="H293">
        <v>3158.58</v>
      </c>
    </row>
    <row r="294" spans="1:8" hidden="1" x14ac:dyDescent="0.25">
      <c r="A294">
        <v>1305</v>
      </c>
      <c r="B294" s="5">
        <v>45490</v>
      </c>
      <c r="C294" s="2" t="s">
        <v>12</v>
      </c>
      <c r="D294" s="2" t="s">
        <v>13</v>
      </c>
      <c r="E294" s="2" t="s">
        <v>33</v>
      </c>
      <c r="F294" s="2" t="s">
        <v>123</v>
      </c>
      <c r="G294">
        <v>57426</v>
      </c>
      <c r="H294">
        <v>7790.71</v>
      </c>
    </row>
    <row r="295" spans="1:8" hidden="1" x14ac:dyDescent="0.25">
      <c r="A295">
        <v>1485</v>
      </c>
      <c r="B295" s="5">
        <v>45490</v>
      </c>
      <c r="C295" s="2" t="s">
        <v>12</v>
      </c>
      <c r="D295" s="2" t="s">
        <v>9</v>
      </c>
      <c r="E295" s="2" t="s">
        <v>27</v>
      </c>
      <c r="F295" s="2" t="s">
        <v>90</v>
      </c>
      <c r="G295">
        <v>55101</v>
      </c>
      <c r="H295">
        <v>4625.2299999999996</v>
      </c>
    </row>
    <row r="296" spans="1:8" hidden="1" x14ac:dyDescent="0.25">
      <c r="A296">
        <v>1277</v>
      </c>
      <c r="B296" s="5">
        <v>45491</v>
      </c>
      <c r="C296" s="2" t="s">
        <v>12</v>
      </c>
      <c r="D296" s="2" t="s">
        <v>9</v>
      </c>
      <c r="E296" s="2" t="s">
        <v>27</v>
      </c>
      <c r="F296" s="2" t="s">
        <v>52</v>
      </c>
      <c r="G296">
        <v>57904</v>
      </c>
      <c r="H296">
        <v>8022.72</v>
      </c>
    </row>
    <row r="297" spans="1:8" hidden="1" x14ac:dyDescent="0.25">
      <c r="A297">
        <v>1020</v>
      </c>
      <c r="B297" s="5">
        <v>45492</v>
      </c>
      <c r="C297" s="2" t="s">
        <v>21</v>
      </c>
      <c r="D297" s="2" t="s">
        <v>13</v>
      </c>
      <c r="E297" s="2" t="s">
        <v>33</v>
      </c>
      <c r="F297" s="2" t="s">
        <v>46</v>
      </c>
      <c r="G297">
        <v>31021</v>
      </c>
      <c r="H297">
        <v>3596.69</v>
      </c>
    </row>
    <row r="298" spans="1:8" hidden="1" x14ac:dyDescent="0.25">
      <c r="A298">
        <v>1063</v>
      </c>
      <c r="B298" s="5">
        <v>45492</v>
      </c>
      <c r="C298" s="2" t="s">
        <v>21</v>
      </c>
      <c r="D298" s="2" t="s">
        <v>9</v>
      </c>
      <c r="E298" s="2" t="s">
        <v>10</v>
      </c>
      <c r="F298" s="2" t="s">
        <v>18</v>
      </c>
      <c r="G298">
        <v>49459</v>
      </c>
      <c r="H298">
        <v>9562.69</v>
      </c>
    </row>
    <row r="299" spans="1:8" hidden="1" x14ac:dyDescent="0.25">
      <c r="A299">
        <v>1078</v>
      </c>
      <c r="B299" s="5">
        <v>45492</v>
      </c>
      <c r="C299" s="2" t="s">
        <v>21</v>
      </c>
      <c r="D299" s="2" t="s">
        <v>13</v>
      </c>
      <c r="E299" s="2" t="s">
        <v>41</v>
      </c>
      <c r="F299" s="2" t="s">
        <v>85</v>
      </c>
      <c r="G299">
        <v>25379</v>
      </c>
      <c r="H299">
        <v>5397.45</v>
      </c>
    </row>
    <row r="300" spans="1:8" hidden="1" x14ac:dyDescent="0.25">
      <c r="A300">
        <v>1195</v>
      </c>
      <c r="B300" s="5">
        <v>45492</v>
      </c>
      <c r="C300" s="2" t="s">
        <v>31</v>
      </c>
      <c r="D300" s="2" t="s">
        <v>13</v>
      </c>
      <c r="E300" s="2" t="s">
        <v>29</v>
      </c>
      <c r="F300" s="2" t="s">
        <v>100</v>
      </c>
      <c r="G300">
        <v>12763</v>
      </c>
      <c r="H300">
        <v>816</v>
      </c>
    </row>
    <row r="301" spans="1:8" hidden="1" x14ac:dyDescent="0.25">
      <c r="A301">
        <v>1262</v>
      </c>
      <c r="B301" s="5">
        <v>45493</v>
      </c>
      <c r="C301" s="2" t="s">
        <v>12</v>
      </c>
      <c r="D301" s="2" t="s">
        <v>9</v>
      </c>
      <c r="E301" s="2" t="s">
        <v>25</v>
      </c>
      <c r="F301" s="2" t="s">
        <v>63</v>
      </c>
      <c r="G301">
        <v>27340</v>
      </c>
      <c r="H301">
        <v>4751.67</v>
      </c>
    </row>
    <row r="302" spans="1:8" hidden="1" x14ac:dyDescent="0.25">
      <c r="A302">
        <v>1307</v>
      </c>
      <c r="B302" s="5">
        <v>45493</v>
      </c>
      <c r="C302" s="2" t="s">
        <v>8</v>
      </c>
      <c r="D302" s="2" t="s">
        <v>13</v>
      </c>
      <c r="E302" s="2" t="s">
        <v>14</v>
      </c>
      <c r="F302" s="2" t="s">
        <v>18</v>
      </c>
      <c r="G302">
        <v>39978</v>
      </c>
      <c r="H302">
        <v>4712.6099999999997</v>
      </c>
    </row>
    <row r="303" spans="1:8" hidden="1" x14ac:dyDescent="0.25">
      <c r="A303">
        <v>1454</v>
      </c>
      <c r="B303" s="5">
        <v>45494</v>
      </c>
      <c r="C303" s="2" t="s">
        <v>8</v>
      </c>
      <c r="D303" s="2" t="s">
        <v>9</v>
      </c>
      <c r="E303" s="2" t="s">
        <v>35</v>
      </c>
      <c r="F303" s="2" t="s">
        <v>63</v>
      </c>
      <c r="G303">
        <v>2039</v>
      </c>
      <c r="H303">
        <v>160.99</v>
      </c>
    </row>
    <row r="304" spans="1:8" hidden="1" x14ac:dyDescent="0.25">
      <c r="A304">
        <v>1174</v>
      </c>
      <c r="B304" s="5">
        <v>45495</v>
      </c>
      <c r="C304" s="2" t="s">
        <v>21</v>
      </c>
      <c r="D304" s="2" t="s">
        <v>9</v>
      </c>
      <c r="E304" s="2" t="s">
        <v>27</v>
      </c>
      <c r="F304" s="2" t="s">
        <v>30</v>
      </c>
      <c r="G304">
        <v>49525</v>
      </c>
      <c r="H304">
        <v>11084.37</v>
      </c>
    </row>
    <row r="305" spans="1:8" hidden="1" x14ac:dyDescent="0.25">
      <c r="A305">
        <v>1242</v>
      </c>
      <c r="B305" s="5">
        <v>45495</v>
      </c>
      <c r="C305" s="2" t="s">
        <v>12</v>
      </c>
      <c r="D305" s="2" t="s">
        <v>9</v>
      </c>
      <c r="E305" s="2" t="s">
        <v>27</v>
      </c>
      <c r="F305" s="2" t="s">
        <v>77</v>
      </c>
      <c r="G305">
        <v>58477</v>
      </c>
      <c r="H305">
        <v>8463.41</v>
      </c>
    </row>
    <row r="306" spans="1:8" hidden="1" x14ac:dyDescent="0.25">
      <c r="A306">
        <v>1021</v>
      </c>
      <c r="B306" s="5">
        <v>45496</v>
      </c>
      <c r="C306" s="2" t="s">
        <v>8</v>
      </c>
      <c r="D306" s="2" t="s">
        <v>16</v>
      </c>
      <c r="E306" s="2" t="s">
        <v>47</v>
      </c>
      <c r="F306" s="2" t="s">
        <v>48</v>
      </c>
      <c r="G306">
        <v>22922</v>
      </c>
      <c r="H306">
        <v>1465.78</v>
      </c>
    </row>
    <row r="307" spans="1:8" hidden="1" x14ac:dyDescent="0.25">
      <c r="A307">
        <v>1405</v>
      </c>
      <c r="B307" s="5">
        <v>45496</v>
      </c>
      <c r="C307" s="2" t="s">
        <v>8</v>
      </c>
      <c r="D307" s="2" t="s">
        <v>9</v>
      </c>
      <c r="E307" s="2" t="s">
        <v>35</v>
      </c>
      <c r="F307" s="2" t="s">
        <v>95</v>
      </c>
      <c r="G307">
        <v>8051</v>
      </c>
      <c r="H307">
        <v>1869.53</v>
      </c>
    </row>
    <row r="308" spans="1:8" hidden="1" x14ac:dyDescent="0.25">
      <c r="A308">
        <v>1299</v>
      </c>
      <c r="B308" s="5">
        <v>45497</v>
      </c>
      <c r="C308" s="2" t="s">
        <v>21</v>
      </c>
      <c r="D308" s="2" t="s">
        <v>16</v>
      </c>
      <c r="E308" s="2" t="s">
        <v>66</v>
      </c>
      <c r="F308" s="2" t="s">
        <v>108</v>
      </c>
      <c r="G308">
        <v>48609</v>
      </c>
      <c r="H308">
        <v>3559.76</v>
      </c>
    </row>
    <row r="309" spans="1:8" hidden="1" x14ac:dyDescent="0.25">
      <c r="A309">
        <v>1218</v>
      </c>
      <c r="B309" s="5">
        <v>45499</v>
      </c>
      <c r="C309" s="2" t="s">
        <v>8</v>
      </c>
      <c r="D309" s="2" t="s">
        <v>9</v>
      </c>
      <c r="E309" s="2" t="s">
        <v>25</v>
      </c>
      <c r="F309" s="2" t="s">
        <v>114</v>
      </c>
      <c r="G309">
        <v>28891</v>
      </c>
      <c r="H309">
        <v>4363.66</v>
      </c>
    </row>
    <row r="310" spans="1:8" hidden="1" x14ac:dyDescent="0.25">
      <c r="A310">
        <v>1241</v>
      </c>
      <c r="B310" s="5">
        <v>45499</v>
      </c>
      <c r="C310" s="2" t="s">
        <v>12</v>
      </c>
      <c r="D310" s="2" t="s">
        <v>16</v>
      </c>
      <c r="E310" s="2" t="s">
        <v>47</v>
      </c>
      <c r="F310" s="2" t="s">
        <v>26</v>
      </c>
      <c r="G310">
        <v>39991</v>
      </c>
      <c r="H310">
        <v>6595.04</v>
      </c>
    </row>
    <row r="311" spans="1:8" hidden="1" x14ac:dyDescent="0.25">
      <c r="A311">
        <v>1120</v>
      </c>
      <c r="B311" s="5">
        <v>45500</v>
      </c>
      <c r="C311" s="2" t="s">
        <v>8</v>
      </c>
      <c r="D311" s="2" t="s">
        <v>13</v>
      </c>
      <c r="E311" s="2" t="s">
        <v>22</v>
      </c>
      <c r="F311" s="2" t="s">
        <v>102</v>
      </c>
      <c r="G311">
        <v>32497</v>
      </c>
      <c r="H311">
        <v>5238.55</v>
      </c>
    </row>
    <row r="312" spans="1:8" hidden="1" x14ac:dyDescent="0.25">
      <c r="A312">
        <v>1338</v>
      </c>
      <c r="B312" s="5">
        <v>45500</v>
      </c>
      <c r="C312" s="2" t="s">
        <v>21</v>
      </c>
      <c r="D312" s="2" t="s">
        <v>16</v>
      </c>
      <c r="E312" s="2" t="s">
        <v>44</v>
      </c>
      <c r="F312" s="2" t="s">
        <v>92</v>
      </c>
      <c r="G312">
        <v>31901</v>
      </c>
      <c r="H312">
        <v>1935.54</v>
      </c>
    </row>
    <row r="313" spans="1:8" hidden="1" x14ac:dyDescent="0.25">
      <c r="A313">
        <v>1193</v>
      </c>
      <c r="B313" s="5">
        <v>45502</v>
      </c>
      <c r="C313" s="2" t="s">
        <v>31</v>
      </c>
      <c r="D313" s="2" t="s">
        <v>16</v>
      </c>
      <c r="E313" s="2" t="s">
        <v>47</v>
      </c>
      <c r="F313" s="2" t="s">
        <v>100</v>
      </c>
      <c r="G313">
        <v>50259</v>
      </c>
      <c r="H313">
        <v>9893.74</v>
      </c>
    </row>
    <row r="314" spans="1:8" hidden="1" x14ac:dyDescent="0.25">
      <c r="A314">
        <v>1133</v>
      </c>
      <c r="B314" s="5">
        <v>45503</v>
      </c>
      <c r="C314" s="2" t="s">
        <v>8</v>
      </c>
      <c r="D314" s="2" t="s">
        <v>16</v>
      </c>
      <c r="E314" s="2" t="s">
        <v>66</v>
      </c>
      <c r="F314" s="2" t="s">
        <v>106</v>
      </c>
      <c r="G314">
        <v>48435</v>
      </c>
      <c r="H314">
        <v>3385.2</v>
      </c>
    </row>
    <row r="315" spans="1:8" hidden="1" x14ac:dyDescent="0.25">
      <c r="A315">
        <v>1205</v>
      </c>
      <c r="B315" s="5">
        <v>45503</v>
      </c>
      <c r="C315" s="2" t="s">
        <v>8</v>
      </c>
      <c r="D315" s="2" t="s">
        <v>9</v>
      </c>
      <c r="E315" s="2" t="s">
        <v>19</v>
      </c>
      <c r="F315" s="2" t="s">
        <v>82</v>
      </c>
      <c r="G315">
        <v>26820</v>
      </c>
      <c r="H315">
        <v>6375.84</v>
      </c>
    </row>
    <row r="316" spans="1:8" hidden="1" x14ac:dyDescent="0.25">
      <c r="A316">
        <v>1288</v>
      </c>
      <c r="B316" s="5">
        <v>45503</v>
      </c>
      <c r="C316" s="2" t="s">
        <v>31</v>
      </c>
      <c r="D316" s="2" t="s">
        <v>9</v>
      </c>
      <c r="E316" s="2" t="s">
        <v>27</v>
      </c>
      <c r="F316" s="2" t="s">
        <v>73</v>
      </c>
      <c r="G316">
        <v>56515</v>
      </c>
      <c r="H316">
        <v>8142.34</v>
      </c>
    </row>
    <row r="317" spans="1:8" hidden="1" x14ac:dyDescent="0.25">
      <c r="A317">
        <v>1295</v>
      </c>
      <c r="B317" s="5">
        <v>45503</v>
      </c>
      <c r="C317" s="2" t="s">
        <v>8</v>
      </c>
      <c r="D317" s="2" t="s">
        <v>16</v>
      </c>
      <c r="E317" s="2" t="s">
        <v>44</v>
      </c>
      <c r="F317" s="2" t="s">
        <v>92</v>
      </c>
      <c r="G317">
        <v>47457</v>
      </c>
      <c r="H317">
        <v>9812.7099999999991</v>
      </c>
    </row>
    <row r="318" spans="1:8" hidden="1" x14ac:dyDescent="0.25">
      <c r="A318">
        <v>1411</v>
      </c>
      <c r="B318" s="5">
        <v>45503</v>
      </c>
      <c r="C318" s="2" t="s">
        <v>21</v>
      </c>
      <c r="D318" s="2" t="s">
        <v>9</v>
      </c>
      <c r="E318" s="2" t="s">
        <v>10</v>
      </c>
      <c r="F318" s="2" t="s">
        <v>65</v>
      </c>
      <c r="G318">
        <v>27923</v>
      </c>
      <c r="H318">
        <v>5604.22</v>
      </c>
    </row>
    <row r="319" spans="1:8" hidden="1" x14ac:dyDescent="0.25">
      <c r="A319">
        <v>1114</v>
      </c>
      <c r="B319" s="5">
        <v>45504</v>
      </c>
      <c r="C319" s="2" t="s">
        <v>31</v>
      </c>
      <c r="D319" s="2" t="s">
        <v>13</v>
      </c>
      <c r="E319" s="2" t="s">
        <v>22</v>
      </c>
      <c r="F319" s="2" t="s">
        <v>85</v>
      </c>
      <c r="G319">
        <v>5886</v>
      </c>
      <c r="H319">
        <v>707.21</v>
      </c>
    </row>
    <row r="320" spans="1:8" hidden="1" x14ac:dyDescent="0.25">
      <c r="A320">
        <v>1479</v>
      </c>
      <c r="B320" s="5">
        <v>45504</v>
      </c>
      <c r="C320" s="2" t="s">
        <v>21</v>
      </c>
      <c r="D320" s="2" t="s">
        <v>13</v>
      </c>
      <c r="E320" s="2" t="s">
        <v>29</v>
      </c>
      <c r="F320" s="2" t="s">
        <v>106</v>
      </c>
      <c r="G320">
        <v>47849</v>
      </c>
      <c r="H320">
        <v>6914.19</v>
      </c>
    </row>
    <row r="321" spans="1:8" hidden="1" x14ac:dyDescent="0.25">
      <c r="A321">
        <v>1065</v>
      </c>
      <c r="B321" s="5">
        <v>45505</v>
      </c>
      <c r="C321" s="2" t="s">
        <v>31</v>
      </c>
      <c r="D321" s="2" t="s">
        <v>13</v>
      </c>
      <c r="E321" s="2" t="s">
        <v>33</v>
      </c>
      <c r="F321" s="2" t="s">
        <v>36</v>
      </c>
      <c r="G321">
        <v>33974</v>
      </c>
      <c r="H321">
        <v>1987.37</v>
      </c>
    </row>
    <row r="322" spans="1:8" hidden="1" x14ac:dyDescent="0.25">
      <c r="A322">
        <v>1090</v>
      </c>
      <c r="B322" s="5">
        <v>45505</v>
      </c>
      <c r="C322" s="2" t="s">
        <v>8</v>
      </c>
      <c r="D322" s="2" t="s">
        <v>16</v>
      </c>
      <c r="E322" s="2" t="s">
        <v>17</v>
      </c>
      <c r="F322" s="2" t="s">
        <v>93</v>
      </c>
      <c r="G322">
        <v>48739</v>
      </c>
      <c r="H322">
        <v>9698.66</v>
      </c>
    </row>
    <row r="323" spans="1:8" hidden="1" x14ac:dyDescent="0.25">
      <c r="A323">
        <v>1229</v>
      </c>
      <c r="B323" s="5">
        <v>45506</v>
      </c>
      <c r="C323" s="2" t="s">
        <v>31</v>
      </c>
      <c r="D323" s="2" t="s">
        <v>13</v>
      </c>
      <c r="E323" s="2" t="s">
        <v>33</v>
      </c>
      <c r="F323" s="2" t="s">
        <v>95</v>
      </c>
      <c r="G323">
        <v>3481</v>
      </c>
      <c r="H323">
        <v>251.82</v>
      </c>
    </row>
    <row r="324" spans="1:8" hidden="1" x14ac:dyDescent="0.25">
      <c r="A324">
        <v>1265</v>
      </c>
      <c r="B324" s="5">
        <v>45506</v>
      </c>
      <c r="C324" s="2" t="s">
        <v>12</v>
      </c>
      <c r="D324" s="2" t="s">
        <v>16</v>
      </c>
      <c r="E324" s="2" t="s">
        <v>17</v>
      </c>
      <c r="F324" s="2" t="s">
        <v>54</v>
      </c>
      <c r="G324">
        <v>39262</v>
      </c>
      <c r="H324">
        <v>9190.83</v>
      </c>
    </row>
    <row r="325" spans="1:8" hidden="1" x14ac:dyDescent="0.25">
      <c r="A325">
        <v>1076</v>
      </c>
      <c r="B325" s="5">
        <v>45507</v>
      </c>
      <c r="C325" s="2" t="s">
        <v>8</v>
      </c>
      <c r="D325" s="2" t="s">
        <v>13</v>
      </c>
      <c r="E325" s="2" t="s">
        <v>41</v>
      </c>
      <c r="F325" s="2" t="s">
        <v>64</v>
      </c>
      <c r="G325">
        <v>5232</v>
      </c>
      <c r="H325">
        <v>1266.6500000000001</v>
      </c>
    </row>
    <row r="326" spans="1:8" hidden="1" x14ac:dyDescent="0.25">
      <c r="A326">
        <v>1216</v>
      </c>
      <c r="B326" s="5">
        <v>45507</v>
      </c>
      <c r="C326" s="2" t="s">
        <v>8</v>
      </c>
      <c r="D326" s="2" t="s">
        <v>16</v>
      </c>
      <c r="E326" s="2" t="s">
        <v>71</v>
      </c>
      <c r="F326" s="2" t="s">
        <v>115</v>
      </c>
      <c r="G326">
        <v>9056</v>
      </c>
      <c r="H326">
        <v>1220.56</v>
      </c>
    </row>
    <row r="327" spans="1:8" hidden="1" x14ac:dyDescent="0.25">
      <c r="A327">
        <v>1425</v>
      </c>
      <c r="B327" s="5">
        <v>45508</v>
      </c>
      <c r="C327" s="2" t="s">
        <v>31</v>
      </c>
      <c r="D327" s="2" t="s">
        <v>13</v>
      </c>
      <c r="E327" s="2" t="s">
        <v>22</v>
      </c>
      <c r="F327" s="2" t="s">
        <v>107</v>
      </c>
      <c r="G327">
        <v>59972</v>
      </c>
      <c r="H327">
        <v>13103.91</v>
      </c>
    </row>
    <row r="328" spans="1:8" hidden="1" x14ac:dyDescent="0.25">
      <c r="A328">
        <v>1360</v>
      </c>
      <c r="B328" s="5">
        <v>45510</v>
      </c>
      <c r="C328" s="2" t="s">
        <v>31</v>
      </c>
      <c r="D328" s="2" t="s">
        <v>9</v>
      </c>
      <c r="E328" s="2" t="s">
        <v>25</v>
      </c>
      <c r="F328" s="2" t="s">
        <v>80</v>
      </c>
      <c r="G328">
        <v>36665</v>
      </c>
      <c r="H328">
        <v>6224.63</v>
      </c>
    </row>
    <row r="329" spans="1:8" hidden="1" x14ac:dyDescent="0.25">
      <c r="A329">
        <v>1469</v>
      </c>
      <c r="B329" s="5">
        <v>45510</v>
      </c>
      <c r="C329" s="2" t="s">
        <v>31</v>
      </c>
      <c r="D329" s="2" t="s">
        <v>9</v>
      </c>
      <c r="E329" s="2" t="s">
        <v>27</v>
      </c>
      <c r="F329" s="2" t="s">
        <v>51</v>
      </c>
      <c r="G329">
        <v>44677</v>
      </c>
      <c r="H329">
        <v>4916.1099999999997</v>
      </c>
    </row>
    <row r="330" spans="1:8" hidden="1" x14ac:dyDescent="0.25">
      <c r="A330">
        <v>1173</v>
      </c>
      <c r="B330" s="5">
        <v>45512</v>
      </c>
      <c r="C330" s="2" t="s">
        <v>21</v>
      </c>
      <c r="D330" s="2" t="s">
        <v>9</v>
      </c>
      <c r="E330" s="2" t="s">
        <v>19</v>
      </c>
      <c r="F330" s="2" t="s">
        <v>40</v>
      </c>
      <c r="G330">
        <v>35909</v>
      </c>
      <c r="H330">
        <v>6101.16</v>
      </c>
    </row>
    <row r="331" spans="1:8" hidden="1" x14ac:dyDescent="0.25">
      <c r="A331">
        <v>1186</v>
      </c>
      <c r="B331" s="5">
        <v>45512</v>
      </c>
      <c r="C331" s="2" t="s">
        <v>21</v>
      </c>
      <c r="D331" s="2" t="s">
        <v>13</v>
      </c>
      <c r="E331" s="2" t="s">
        <v>29</v>
      </c>
      <c r="F331" s="2" t="s">
        <v>65</v>
      </c>
      <c r="G331">
        <v>23264</v>
      </c>
      <c r="H331">
        <v>5662.74</v>
      </c>
    </row>
    <row r="332" spans="1:8" hidden="1" x14ac:dyDescent="0.25">
      <c r="A332">
        <v>1422</v>
      </c>
      <c r="B332" s="5">
        <v>45513</v>
      </c>
      <c r="C332" s="2" t="s">
        <v>8</v>
      </c>
      <c r="D332" s="2" t="s">
        <v>16</v>
      </c>
      <c r="E332" s="2" t="s">
        <v>44</v>
      </c>
      <c r="F332" s="2" t="s">
        <v>112</v>
      </c>
      <c r="G332">
        <v>24917</v>
      </c>
      <c r="H332">
        <v>1657.67</v>
      </c>
    </row>
    <row r="333" spans="1:8" hidden="1" x14ac:dyDescent="0.25">
      <c r="A333">
        <v>1448</v>
      </c>
      <c r="B333" s="5">
        <v>45513</v>
      </c>
      <c r="C333" s="2" t="s">
        <v>31</v>
      </c>
      <c r="D333" s="2" t="s">
        <v>9</v>
      </c>
      <c r="E333" s="2" t="s">
        <v>10</v>
      </c>
      <c r="F333" s="2" t="s">
        <v>79</v>
      </c>
      <c r="G333">
        <v>41869</v>
      </c>
      <c r="H333">
        <v>5412.19</v>
      </c>
    </row>
    <row r="334" spans="1:8" hidden="1" x14ac:dyDescent="0.25">
      <c r="A334">
        <v>1178</v>
      </c>
      <c r="B334" s="5">
        <v>45514</v>
      </c>
      <c r="C334" s="2" t="s">
        <v>31</v>
      </c>
      <c r="D334" s="2" t="s">
        <v>13</v>
      </c>
      <c r="E334" s="2" t="s">
        <v>41</v>
      </c>
      <c r="F334" s="2" t="s">
        <v>51</v>
      </c>
      <c r="G334">
        <v>23445</v>
      </c>
      <c r="H334">
        <v>1550.5</v>
      </c>
    </row>
    <row r="335" spans="1:8" hidden="1" x14ac:dyDescent="0.25">
      <c r="A335">
        <v>1231</v>
      </c>
      <c r="B335" s="5">
        <v>45516</v>
      </c>
      <c r="C335" s="2" t="s">
        <v>21</v>
      </c>
      <c r="D335" s="2" t="s">
        <v>9</v>
      </c>
      <c r="E335" s="2" t="s">
        <v>25</v>
      </c>
      <c r="F335" s="2" t="s">
        <v>62</v>
      </c>
      <c r="G335">
        <v>39383</v>
      </c>
      <c r="H335">
        <v>5532.17</v>
      </c>
    </row>
    <row r="336" spans="1:8" hidden="1" x14ac:dyDescent="0.25">
      <c r="A336">
        <v>1075</v>
      </c>
      <c r="B336" s="5">
        <v>45517</v>
      </c>
      <c r="C336" s="2" t="s">
        <v>8</v>
      </c>
      <c r="D336" s="2" t="s">
        <v>9</v>
      </c>
      <c r="E336" s="2" t="s">
        <v>25</v>
      </c>
      <c r="F336" s="2" t="s">
        <v>40</v>
      </c>
      <c r="G336">
        <v>2954</v>
      </c>
      <c r="H336">
        <v>455.66</v>
      </c>
    </row>
    <row r="337" spans="1:8" hidden="1" x14ac:dyDescent="0.25">
      <c r="A337">
        <v>1118</v>
      </c>
      <c r="B337" s="5">
        <v>45517</v>
      </c>
      <c r="C337" s="2" t="s">
        <v>31</v>
      </c>
      <c r="D337" s="2" t="s">
        <v>13</v>
      </c>
      <c r="E337" s="2" t="s">
        <v>29</v>
      </c>
      <c r="F337" s="2" t="s">
        <v>77</v>
      </c>
      <c r="G337">
        <v>47223</v>
      </c>
      <c r="H337">
        <v>9448.7999999999993</v>
      </c>
    </row>
    <row r="338" spans="1:8" hidden="1" x14ac:dyDescent="0.25">
      <c r="A338">
        <v>1244</v>
      </c>
      <c r="B338" s="5">
        <v>45517</v>
      </c>
      <c r="C338" s="2" t="s">
        <v>31</v>
      </c>
      <c r="D338" s="2" t="s">
        <v>13</v>
      </c>
      <c r="E338" s="2" t="s">
        <v>22</v>
      </c>
      <c r="F338" s="2" t="s">
        <v>81</v>
      </c>
      <c r="G338">
        <v>1415</v>
      </c>
      <c r="H338">
        <v>183.01</v>
      </c>
    </row>
    <row r="339" spans="1:8" hidden="1" x14ac:dyDescent="0.25">
      <c r="A339">
        <v>1280</v>
      </c>
      <c r="B339" s="5">
        <v>45517</v>
      </c>
      <c r="C339" s="2" t="s">
        <v>31</v>
      </c>
      <c r="D339" s="2" t="s">
        <v>9</v>
      </c>
      <c r="E339" s="2" t="s">
        <v>25</v>
      </c>
      <c r="F339" s="2" t="s">
        <v>119</v>
      </c>
      <c r="G339">
        <v>11306</v>
      </c>
      <c r="H339">
        <v>2087.06</v>
      </c>
    </row>
    <row r="340" spans="1:8" hidden="1" x14ac:dyDescent="0.25">
      <c r="A340">
        <v>1301</v>
      </c>
      <c r="B340" s="5">
        <v>45517</v>
      </c>
      <c r="C340" s="2" t="s">
        <v>21</v>
      </c>
      <c r="D340" s="2" t="s">
        <v>16</v>
      </c>
      <c r="E340" s="2" t="s">
        <v>17</v>
      </c>
      <c r="F340" s="2" t="s">
        <v>72</v>
      </c>
      <c r="G340">
        <v>3099</v>
      </c>
      <c r="H340">
        <v>420.74</v>
      </c>
    </row>
    <row r="341" spans="1:8" hidden="1" x14ac:dyDescent="0.25">
      <c r="A341">
        <v>1314</v>
      </c>
      <c r="B341" s="5">
        <v>45523</v>
      </c>
      <c r="C341" s="2" t="s">
        <v>21</v>
      </c>
      <c r="D341" s="2" t="s">
        <v>16</v>
      </c>
      <c r="E341" s="2" t="s">
        <v>71</v>
      </c>
      <c r="F341" s="2" t="s">
        <v>106</v>
      </c>
      <c r="G341">
        <v>2445</v>
      </c>
      <c r="H341">
        <v>534.64</v>
      </c>
    </row>
    <row r="342" spans="1:8" hidden="1" x14ac:dyDescent="0.25">
      <c r="A342">
        <v>1268</v>
      </c>
      <c r="B342" s="5">
        <v>45524</v>
      </c>
      <c r="C342" s="2" t="s">
        <v>12</v>
      </c>
      <c r="D342" s="2" t="s">
        <v>9</v>
      </c>
      <c r="E342" s="2" t="s">
        <v>10</v>
      </c>
      <c r="F342" s="2" t="s">
        <v>108</v>
      </c>
      <c r="G342">
        <v>4089</v>
      </c>
      <c r="H342">
        <v>868.19</v>
      </c>
    </row>
    <row r="343" spans="1:8" hidden="1" x14ac:dyDescent="0.25">
      <c r="A343">
        <v>1382</v>
      </c>
      <c r="B343" s="5">
        <v>45527</v>
      </c>
      <c r="C343" s="2" t="s">
        <v>12</v>
      </c>
      <c r="D343" s="2" t="s">
        <v>9</v>
      </c>
      <c r="E343" s="2" t="s">
        <v>27</v>
      </c>
      <c r="F343" s="2" t="s">
        <v>110</v>
      </c>
      <c r="G343">
        <v>36482</v>
      </c>
      <c r="H343">
        <v>7865.42</v>
      </c>
    </row>
    <row r="344" spans="1:8" hidden="1" x14ac:dyDescent="0.25">
      <c r="A344">
        <v>1497</v>
      </c>
      <c r="B344" s="5">
        <v>45527</v>
      </c>
      <c r="C344" s="2" t="s">
        <v>8</v>
      </c>
      <c r="D344" s="2" t="s">
        <v>13</v>
      </c>
      <c r="E344" s="2" t="s">
        <v>29</v>
      </c>
      <c r="F344" s="2" t="s">
        <v>30</v>
      </c>
      <c r="G344">
        <v>16231</v>
      </c>
      <c r="H344">
        <v>1933.2</v>
      </c>
    </row>
    <row r="345" spans="1:8" hidden="1" x14ac:dyDescent="0.25">
      <c r="A345">
        <v>1444</v>
      </c>
      <c r="B345" s="5">
        <v>45529</v>
      </c>
      <c r="C345" s="2" t="s">
        <v>12</v>
      </c>
      <c r="D345" s="2" t="s">
        <v>16</v>
      </c>
      <c r="E345" s="2" t="s">
        <v>44</v>
      </c>
      <c r="F345" s="2" t="s">
        <v>111</v>
      </c>
      <c r="G345">
        <v>44938</v>
      </c>
      <c r="H345">
        <v>7402.6</v>
      </c>
    </row>
    <row r="346" spans="1:8" hidden="1" x14ac:dyDescent="0.25">
      <c r="A346">
        <v>1013</v>
      </c>
      <c r="B346" s="5">
        <v>45530</v>
      </c>
      <c r="C346" s="2" t="s">
        <v>31</v>
      </c>
      <c r="D346" s="2" t="s">
        <v>9</v>
      </c>
      <c r="E346" s="2" t="s">
        <v>35</v>
      </c>
      <c r="F346" s="2" t="s">
        <v>37</v>
      </c>
      <c r="G346">
        <v>27696</v>
      </c>
      <c r="H346">
        <v>5284.17</v>
      </c>
    </row>
    <row r="347" spans="1:8" hidden="1" x14ac:dyDescent="0.25">
      <c r="A347">
        <v>1323</v>
      </c>
      <c r="B347" s="5">
        <v>45530</v>
      </c>
      <c r="C347" s="2" t="s">
        <v>31</v>
      </c>
      <c r="D347" s="2" t="s">
        <v>9</v>
      </c>
      <c r="E347" s="2" t="s">
        <v>19</v>
      </c>
      <c r="F347" s="2" t="s">
        <v>118</v>
      </c>
      <c r="G347">
        <v>42989</v>
      </c>
      <c r="H347">
        <v>6512.86</v>
      </c>
    </row>
    <row r="348" spans="1:8" hidden="1" x14ac:dyDescent="0.25">
      <c r="A348">
        <v>1350</v>
      </c>
      <c r="B348" s="5">
        <v>45531</v>
      </c>
      <c r="C348" s="2" t="s">
        <v>21</v>
      </c>
      <c r="D348" s="2" t="s">
        <v>13</v>
      </c>
      <c r="E348" s="2" t="s">
        <v>41</v>
      </c>
      <c r="F348" s="2" t="s">
        <v>84</v>
      </c>
      <c r="G348">
        <v>46039</v>
      </c>
      <c r="H348">
        <v>9826.18</v>
      </c>
    </row>
    <row r="349" spans="1:8" hidden="1" x14ac:dyDescent="0.25">
      <c r="A349">
        <v>1494</v>
      </c>
      <c r="B349" s="5">
        <v>45531</v>
      </c>
      <c r="C349" s="2" t="s">
        <v>12</v>
      </c>
      <c r="D349" s="2" t="s">
        <v>9</v>
      </c>
      <c r="E349" s="2" t="s">
        <v>25</v>
      </c>
      <c r="F349" s="2" t="s">
        <v>69</v>
      </c>
      <c r="G349">
        <v>18001</v>
      </c>
      <c r="H349">
        <v>3721.56</v>
      </c>
    </row>
    <row r="350" spans="1:8" hidden="1" x14ac:dyDescent="0.25">
      <c r="A350">
        <v>1225</v>
      </c>
      <c r="B350" s="5">
        <v>45533</v>
      </c>
      <c r="C350" s="2" t="s">
        <v>12</v>
      </c>
      <c r="D350" s="2" t="s">
        <v>16</v>
      </c>
      <c r="E350" s="2" t="s">
        <v>44</v>
      </c>
      <c r="F350" s="2" t="s">
        <v>67</v>
      </c>
      <c r="G350">
        <v>9232</v>
      </c>
      <c r="H350">
        <v>953.62</v>
      </c>
    </row>
    <row r="351" spans="1:8" hidden="1" x14ac:dyDescent="0.25">
      <c r="A351">
        <v>1247</v>
      </c>
      <c r="B351" s="5">
        <v>45533</v>
      </c>
      <c r="C351" s="2" t="s">
        <v>21</v>
      </c>
      <c r="D351" s="2" t="s">
        <v>13</v>
      </c>
      <c r="E351" s="2" t="s">
        <v>41</v>
      </c>
      <c r="F351" s="2" t="s">
        <v>60</v>
      </c>
      <c r="G351">
        <v>42392</v>
      </c>
      <c r="H351">
        <v>5844.99</v>
      </c>
    </row>
    <row r="352" spans="1:8" hidden="1" x14ac:dyDescent="0.25">
      <c r="A352">
        <v>1060</v>
      </c>
      <c r="B352" s="5">
        <v>45536</v>
      </c>
      <c r="C352" s="2" t="s">
        <v>8</v>
      </c>
      <c r="D352" s="2" t="s">
        <v>13</v>
      </c>
      <c r="E352" s="2" t="s">
        <v>33</v>
      </c>
      <c r="F352" s="2" t="s">
        <v>77</v>
      </c>
      <c r="G352">
        <v>12847</v>
      </c>
      <c r="H352">
        <v>2710.2</v>
      </c>
    </row>
    <row r="353" spans="1:8" hidden="1" x14ac:dyDescent="0.25">
      <c r="A353">
        <v>1450</v>
      </c>
      <c r="B353" s="5">
        <v>45538</v>
      </c>
      <c r="C353" s="2" t="s">
        <v>31</v>
      </c>
      <c r="D353" s="2" t="s">
        <v>16</v>
      </c>
      <c r="E353" s="2" t="s">
        <v>47</v>
      </c>
      <c r="F353" s="2" t="s">
        <v>105</v>
      </c>
      <c r="G353">
        <v>1421</v>
      </c>
      <c r="H353">
        <v>143.4</v>
      </c>
    </row>
    <row r="354" spans="1:8" hidden="1" x14ac:dyDescent="0.25">
      <c r="A354">
        <v>1467</v>
      </c>
      <c r="B354" s="5">
        <v>45538</v>
      </c>
      <c r="C354" s="2" t="s">
        <v>8</v>
      </c>
      <c r="D354" s="2" t="s">
        <v>16</v>
      </c>
      <c r="E354" s="2" t="s">
        <v>47</v>
      </c>
      <c r="F354" s="2" t="s">
        <v>88</v>
      </c>
      <c r="G354">
        <v>8489</v>
      </c>
      <c r="H354">
        <v>1583.49</v>
      </c>
    </row>
    <row r="355" spans="1:8" hidden="1" x14ac:dyDescent="0.25">
      <c r="A355">
        <v>1232</v>
      </c>
      <c r="B355" s="5">
        <v>45539</v>
      </c>
      <c r="C355" s="2" t="s">
        <v>8</v>
      </c>
      <c r="D355" s="2" t="s">
        <v>16</v>
      </c>
      <c r="E355" s="2" t="s">
        <v>71</v>
      </c>
      <c r="F355" s="2" t="s">
        <v>117</v>
      </c>
      <c r="G355">
        <v>27918</v>
      </c>
      <c r="H355">
        <v>5827.94</v>
      </c>
    </row>
    <row r="356" spans="1:8" hidden="1" x14ac:dyDescent="0.25">
      <c r="A356">
        <v>1257</v>
      </c>
      <c r="B356" s="5">
        <v>45539</v>
      </c>
      <c r="C356" s="2" t="s">
        <v>31</v>
      </c>
      <c r="D356" s="2" t="s">
        <v>13</v>
      </c>
      <c r="E356" s="2" t="s">
        <v>33</v>
      </c>
      <c r="F356" s="2" t="s">
        <v>98</v>
      </c>
      <c r="G356">
        <v>25572</v>
      </c>
      <c r="H356">
        <v>3635.45</v>
      </c>
    </row>
    <row r="357" spans="1:8" hidden="1" x14ac:dyDescent="0.25">
      <c r="A357">
        <v>1320</v>
      </c>
      <c r="B357" s="5">
        <v>45539</v>
      </c>
      <c r="C357" s="2" t="s">
        <v>8</v>
      </c>
      <c r="D357" s="2" t="s">
        <v>9</v>
      </c>
      <c r="E357" s="2" t="s">
        <v>27</v>
      </c>
      <c r="F357" s="2" t="s">
        <v>38</v>
      </c>
      <c r="G357">
        <v>11369</v>
      </c>
      <c r="H357">
        <v>839.97</v>
      </c>
    </row>
    <row r="358" spans="1:8" hidden="1" x14ac:dyDescent="0.25">
      <c r="A358">
        <v>1121</v>
      </c>
      <c r="B358" s="5">
        <v>45540</v>
      </c>
      <c r="C358" s="2" t="s">
        <v>8</v>
      </c>
      <c r="D358" s="2" t="s">
        <v>9</v>
      </c>
      <c r="E358" s="2" t="s">
        <v>27</v>
      </c>
      <c r="F358" s="2" t="s">
        <v>97</v>
      </c>
      <c r="G358">
        <v>17318</v>
      </c>
      <c r="H358">
        <v>2249.59</v>
      </c>
    </row>
    <row r="359" spans="1:8" hidden="1" x14ac:dyDescent="0.25">
      <c r="A359">
        <v>1424</v>
      </c>
      <c r="B359" s="5">
        <v>45540</v>
      </c>
      <c r="C359" s="2" t="s">
        <v>8</v>
      </c>
      <c r="D359" s="2" t="s">
        <v>16</v>
      </c>
      <c r="E359" s="2" t="s">
        <v>71</v>
      </c>
      <c r="F359" s="2" t="s">
        <v>97</v>
      </c>
      <c r="G359">
        <v>25926</v>
      </c>
      <c r="H359">
        <v>4489.9399999999996</v>
      </c>
    </row>
    <row r="360" spans="1:8" hidden="1" x14ac:dyDescent="0.25">
      <c r="A360">
        <v>1031</v>
      </c>
      <c r="B360" s="5">
        <v>45541</v>
      </c>
      <c r="C360" s="2" t="s">
        <v>8</v>
      </c>
      <c r="D360" s="2" t="s">
        <v>9</v>
      </c>
      <c r="E360" s="2" t="s">
        <v>25</v>
      </c>
      <c r="F360" s="2" t="s">
        <v>53</v>
      </c>
      <c r="G360">
        <v>36161</v>
      </c>
      <c r="H360">
        <v>4443.2700000000004</v>
      </c>
    </row>
    <row r="361" spans="1:8" hidden="1" x14ac:dyDescent="0.25">
      <c r="A361">
        <v>1099</v>
      </c>
      <c r="B361" s="5">
        <v>45541</v>
      </c>
      <c r="C361" s="2" t="s">
        <v>21</v>
      </c>
      <c r="D361" s="2" t="s">
        <v>13</v>
      </c>
      <c r="E361" s="2" t="s">
        <v>41</v>
      </c>
      <c r="F361" s="2" t="s">
        <v>97</v>
      </c>
      <c r="G361">
        <v>12818</v>
      </c>
      <c r="H361">
        <v>3180.05</v>
      </c>
    </row>
    <row r="362" spans="1:8" hidden="1" x14ac:dyDescent="0.25">
      <c r="A362">
        <v>1491</v>
      </c>
      <c r="B362" s="5">
        <v>45541</v>
      </c>
      <c r="C362" s="2" t="s">
        <v>8</v>
      </c>
      <c r="D362" s="2" t="s">
        <v>9</v>
      </c>
      <c r="E362" s="2" t="s">
        <v>10</v>
      </c>
      <c r="F362" s="2" t="s">
        <v>43</v>
      </c>
      <c r="G362">
        <v>16510</v>
      </c>
      <c r="H362">
        <v>857.4</v>
      </c>
    </row>
    <row r="363" spans="1:8" hidden="1" x14ac:dyDescent="0.25">
      <c r="A363">
        <v>1289</v>
      </c>
      <c r="B363" s="5">
        <v>45542</v>
      </c>
      <c r="C363" s="2" t="s">
        <v>31</v>
      </c>
      <c r="D363" s="2" t="s">
        <v>13</v>
      </c>
      <c r="E363" s="2" t="s">
        <v>33</v>
      </c>
      <c r="F363" s="2" t="s">
        <v>77</v>
      </c>
      <c r="G363">
        <v>20779</v>
      </c>
      <c r="H363">
        <v>3392.62</v>
      </c>
    </row>
    <row r="364" spans="1:8" hidden="1" x14ac:dyDescent="0.25">
      <c r="A364">
        <v>1459</v>
      </c>
      <c r="B364" s="5">
        <v>45543</v>
      </c>
      <c r="C364" s="2" t="s">
        <v>21</v>
      </c>
      <c r="D364" s="2" t="s">
        <v>13</v>
      </c>
      <c r="E364" s="2" t="s">
        <v>14</v>
      </c>
      <c r="F364" s="2" t="s">
        <v>18</v>
      </c>
      <c r="G364">
        <v>38327</v>
      </c>
      <c r="H364">
        <v>7803.86</v>
      </c>
    </row>
    <row r="365" spans="1:8" hidden="1" x14ac:dyDescent="0.25">
      <c r="A365">
        <v>1203</v>
      </c>
      <c r="B365" s="5">
        <v>45544</v>
      </c>
      <c r="C365" s="2" t="s">
        <v>12</v>
      </c>
      <c r="D365" s="2" t="s">
        <v>9</v>
      </c>
      <c r="E365" s="2" t="s">
        <v>27</v>
      </c>
      <c r="F365" s="2" t="s">
        <v>51</v>
      </c>
      <c r="G365">
        <v>40575</v>
      </c>
      <c r="H365">
        <v>2935.78</v>
      </c>
    </row>
    <row r="366" spans="1:8" hidden="1" x14ac:dyDescent="0.25">
      <c r="A366">
        <v>1269</v>
      </c>
      <c r="B366" s="5">
        <v>45544</v>
      </c>
      <c r="C366" s="2" t="s">
        <v>8</v>
      </c>
      <c r="D366" s="2" t="s">
        <v>16</v>
      </c>
      <c r="E366" s="2" t="s">
        <v>66</v>
      </c>
      <c r="F366" s="2" t="s">
        <v>114</v>
      </c>
      <c r="G366">
        <v>29306</v>
      </c>
      <c r="H366">
        <v>6077.29</v>
      </c>
    </row>
    <row r="367" spans="1:8" hidden="1" x14ac:dyDescent="0.25">
      <c r="A367">
        <v>1179</v>
      </c>
      <c r="B367" s="5">
        <v>45546</v>
      </c>
      <c r="C367" s="2" t="s">
        <v>31</v>
      </c>
      <c r="D367" s="2" t="s">
        <v>9</v>
      </c>
      <c r="E367" s="2" t="s">
        <v>10</v>
      </c>
      <c r="F367" s="2" t="s">
        <v>111</v>
      </c>
      <c r="G367">
        <v>28318</v>
      </c>
      <c r="H367">
        <v>1608.88</v>
      </c>
    </row>
    <row r="368" spans="1:8" hidden="1" x14ac:dyDescent="0.25">
      <c r="A368">
        <v>1371</v>
      </c>
      <c r="B368" s="5">
        <v>45546</v>
      </c>
      <c r="C368" s="2" t="s">
        <v>21</v>
      </c>
      <c r="D368" s="2" t="s">
        <v>16</v>
      </c>
      <c r="E368" s="2" t="s">
        <v>66</v>
      </c>
      <c r="F368" s="2" t="s">
        <v>80</v>
      </c>
      <c r="G368">
        <v>3378</v>
      </c>
      <c r="H368">
        <v>480.95</v>
      </c>
    </row>
    <row r="369" spans="1:8" hidden="1" x14ac:dyDescent="0.25">
      <c r="A369">
        <v>1156</v>
      </c>
      <c r="B369" s="5">
        <v>45547</v>
      </c>
      <c r="C369" s="2" t="s">
        <v>12</v>
      </c>
      <c r="D369" s="2" t="s">
        <v>16</v>
      </c>
      <c r="E369" s="2" t="s">
        <v>47</v>
      </c>
      <c r="F369" s="2" t="s">
        <v>51</v>
      </c>
      <c r="G369">
        <v>44566</v>
      </c>
      <c r="H369">
        <v>3668.35</v>
      </c>
    </row>
    <row r="370" spans="1:8" hidden="1" x14ac:dyDescent="0.25">
      <c r="A370">
        <v>1372</v>
      </c>
      <c r="B370" s="5">
        <v>45550</v>
      </c>
      <c r="C370" s="2" t="s">
        <v>12</v>
      </c>
      <c r="D370" s="2" t="s">
        <v>16</v>
      </c>
      <c r="E370" s="2" t="s">
        <v>66</v>
      </c>
      <c r="F370" s="2" t="s">
        <v>121</v>
      </c>
      <c r="G370">
        <v>23898</v>
      </c>
      <c r="H370">
        <v>3032.16</v>
      </c>
    </row>
    <row r="371" spans="1:8" hidden="1" x14ac:dyDescent="0.25">
      <c r="A371">
        <v>1378</v>
      </c>
      <c r="B371" s="5">
        <v>45550</v>
      </c>
      <c r="C371" s="2" t="s">
        <v>12</v>
      </c>
      <c r="D371" s="2" t="s">
        <v>9</v>
      </c>
      <c r="E371" s="2" t="s">
        <v>10</v>
      </c>
      <c r="F371" s="2" t="s">
        <v>65</v>
      </c>
      <c r="G371">
        <v>15261</v>
      </c>
      <c r="H371">
        <v>2101.4499999999998</v>
      </c>
    </row>
    <row r="372" spans="1:8" hidden="1" x14ac:dyDescent="0.25">
      <c r="A372">
        <v>1112</v>
      </c>
      <c r="B372" s="5">
        <v>45551</v>
      </c>
      <c r="C372" s="2" t="s">
        <v>8</v>
      </c>
      <c r="D372" s="2" t="s">
        <v>16</v>
      </c>
      <c r="E372" s="2" t="s">
        <v>44</v>
      </c>
      <c r="F372" s="2" t="s">
        <v>100</v>
      </c>
      <c r="G372">
        <v>2229</v>
      </c>
      <c r="H372">
        <v>539.45000000000005</v>
      </c>
    </row>
    <row r="373" spans="1:8" hidden="1" x14ac:dyDescent="0.25">
      <c r="A373">
        <v>1180</v>
      </c>
      <c r="B373" s="5">
        <v>45551</v>
      </c>
      <c r="C373" s="2" t="s">
        <v>8</v>
      </c>
      <c r="D373" s="2" t="s">
        <v>13</v>
      </c>
      <c r="E373" s="2" t="s">
        <v>41</v>
      </c>
      <c r="F373" s="2" t="s">
        <v>112</v>
      </c>
      <c r="G373">
        <v>42390</v>
      </c>
      <c r="H373">
        <v>5715.51</v>
      </c>
    </row>
    <row r="374" spans="1:8" hidden="1" x14ac:dyDescent="0.25">
      <c r="A374">
        <v>1475</v>
      </c>
      <c r="B374" s="5">
        <v>45551</v>
      </c>
      <c r="C374" s="2" t="s">
        <v>12</v>
      </c>
      <c r="D374" s="2" t="s">
        <v>9</v>
      </c>
      <c r="E374" s="2" t="s">
        <v>25</v>
      </c>
      <c r="F374" s="2" t="s">
        <v>84</v>
      </c>
      <c r="G374">
        <v>39009</v>
      </c>
      <c r="H374">
        <v>6826.18</v>
      </c>
    </row>
    <row r="375" spans="1:8" hidden="1" x14ac:dyDescent="0.25">
      <c r="A375">
        <v>1153</v>
      </c>
      <c r="B375" s="5">
        <v>45552</v>
      </c>
      <c r="C375" s="2" t="s">
        <v>21</v>
      </c>
      <c r="D375" s="2" t="s">
        <v>13</v>
      </c>
      <c r="E375" s="2" t="s">
        <v>29</v>
      </c>
      <c r="F375" s="2" t="s">
        <v>107</v>
      </c>
      <c r="G375">
        <v>4122</v>
      </c>
      <c r="H375">
        <v>566.07000000000005</v>
      </c>
    </row>
    <row r="376" spans="1:8" hidden="1" x14ac:dyDescent="0.25">
      <c r="A376">
        <v>1388</v>
      </c>
      <c r="B376" s="5">
        <v>45552</v>
      </c>
      <c r="C376" s="2" t="s">
        <v>31</v>
      </c>
      <c r="D376" s="2" t="s">
        <v>16</v>
      </c>
      <c r="E376" s="2" t="s">
        <v>47</v>
      </c>
      <c r="F376" s="2" t="s">
        <v>76</v>
      </c>
      <c r="G376">
        <v>55986</v>
      </c>
      <c r="H376">
        <v>7754.28</v>
      </c>
    </row>
    <row r="377" spans="1:8" hidden="1" x14ac:dyDescent="0.25">
      <c r="A377">
        <v>1136</v>
      </c>
      <c r="B377" s="5">
        <v>45553</v>
      </c>
      <c r="C377" s="2" t="s">
        <v>8</v>
      </c>
      <c r="D377" s="2" t="s">
        <v>13</v>
      </c>
      <c r="E377" s="2" t="s">
        <v>41</v>
      </c>
      <c r="F377" s="2" t="s">
        <v>107</v>
      </c>
      <c r="G377">
        <v>30175</v>
      </c>
      <c r="H377">
        <v>2312.37</v>
      </c>
    </row>
    <row r="378" spans="1:8" hidden="1" x14ac:dyDescent="0.25">
      <c r="A378">
        <v>1202</v>
      </c>
      <c r="B378" s="5">
        <v>45553</v>
      </c>
      <c r="C378" s="2" t="s">
        <v>21</v>
      </c>
      <c r="D378" s="2" t="s">
        <v>13</v>
      </c>
      <c r="E378" s="2" t="s">
        <v>41</v>
      </c>
      <c r="F378" s="2" t="s">
        <v>103</v>
      </c>
      <c r="G378">
        <v>51497</v>
      </c>
      <c r="H378">
        <v>4915.03</v>
      </c>
    </row>
    <row r="379" spans="1:8" hidden="1" x14ac:dyDescent="0.25">
      <c r="A379">
        <v>1074</v>
      </c>
      <c r="B379" s="5">
        <v>45555</v>
      </c>
      <c r="C379" s="2" t="s">
        <v>31</v>
      </c>
      <c r="D379" s="2" t="s">
        <v>13</v>
      </c>
      <c r="E379" s="2" t="s">
        <v>29</v>
      </c>
      <c r="F379" s="2" t="s">
        <v>54</v>
      </c>
      <c r="G379">
        <v>42115</v>
      </c>
      <c r="H379">
        <v>8121.26</v>
      </c>
    </row>
    <row r="380" spans="1:8" hidden="1" x14ac:dyDescent="0.25">
      <c r="A380">
        <v>1449</v>
      </c>
      <c r="B380" s="5">
        <v>45555</v>
      </c>
      <c r="C380" s="2" t="s">
        <v>8</v>
      </c>
      <c r="D380" s="2" t="s">
        <v>13</v>
      </c>
      <c r="E380" s="2" t="s">
        <v>22</v>
      </c>
      <c r="F380" s="2" t="s">
        <v>60</v>
      </c>
      <c r="G380">
        <v>45408</v>
      </c>
      <c r="H380">
        <v>6787.43</v>
      </c>
    </row>
    <row r="381" spans="1:8" hidden="1" x14ac:dyDescent="0.25">
      <c r="A381">
        <v>1093</v>
      </c>
      <c r="B381" s="5">
        <v>45556</v>
      </c>
      <c r="C381" s="2" t="s">
        <v>12</v>
      </c>
      <c r="D381" s="2" t="s">
        <v>16</v>
      </c>
      <c r="E381" s="2" t="s">
        <v>47</v>
      </c>
      <c r="F381" s="2" t="s">
        <v>85</v>
      </c>
      <c r="G381">
        <v>59829</v>
      </c>
      <c r="H381">
        <v>11027.31</v>
      </c>
    </row>
    <row r="382" spans="1:8" hidden="1" x14ac:dyDescent="0.25">
      <c r="A382">
        <v>1263</v>
      </c>
      <c r="B382" s="5">
        <v>45556</v>
      </c>
      <c r="C382" s="2" t="s">
        <v>8</v>
      </c>
      <c r="D382" s="2" t="s">
        <v>13</v>
      </c>
      <c r="E382" s="2" t="s">
        <v>33</v>
      </c>
      <c r="F382" s="2" t="s">
        <v>24</v>
      </c>
      <c r="G382">
        <v>45919</v>
      </c>
      <c r="H382">
        <v>10985.3</v>
      </c>
    </row>
    <row r="383" spans="1:8" hidden="1" x14ac:dyDescent="0.25">
      <c r="A383">
        <v>1302</v>
      </c>
      <c r="B383" s="5">
        <v>45557</v>
      </c>
      <c r="C383" s="2" t="s">
        <v>8</v>
      </c>
      <c r="D383" s="2" t="s">
        <v>13</v>
      </c>
      <c r="E383" s="2" t="s">
        <v>22</v>
      </c>
      <c r="F383" s="2" t="s">
        <v>40</v>
      </c>
      <c r="G383">
        <v>57093</v>
      </c>
      <c r="H383">
        <v>4500.18</v>
      </c>
    </row>
    <row r="384" spans="1:8" hidden="1" x14ac:dyDescent="0.25">
      <c r="A384">
        <v>1351</v>
      </c>
      <c r="B384" s="5">
        <v>45557</v>
      </c>
      <c r="C384" s="2" t="s">
        <v>8</v>
      </c>
      <c r="D384" s="2" t="s">
        <v>9</v>
      </c>
      <c r="E384" s="2" t="s">
        <v>25</v>
      </c>
      <c r="F384" s="2" t="s">
        <v>43</v>
      </c>
      <c r="G384">
        <v>12031</v>
      </c>
      <c r="H384">
        <v>2973.41</v>
      </c>
    </row>
    <row r="385" spans="1:8" hidden="1" x14ac:dyDescent="0.25">
      <c r="A385">
        <v>1474</v>
      </c>
      <c r="B385" s="5">
        <v>45559</v>
      </c>
      <c r="C385" s="2" t="s">
        <v>21</v>
      </c>
      <c r="D385" s="2" t="s">
        <v>13</v>
      </c>
      <c r="E385" s="2" t="s">
        <v>33</v>
      </c>
      <c r="F385" s="2" t="s">
        <v>56</v>
      </c>
      <c r="G385">
        <v>40668</v>
      </c>
      <c r="H385">
        <v>7438.25</v>
      </c>
    </row>
    <row r="386" spans="1:8" hidden="1" x14ac:dyDescent="0.25">
      <c r="A386">
        <v>1406</v>
      </c>
      <c r="B386" s="5">
        <v>45560</v>
      </c>
      <c r="C386" s="2" t="s">
        <v>21</v>
      </c>
      <c r="D386" s="2" t="s">
        <v>9</v>
      </c>
      <c r="E386" s="2" t="s">
        <v>27</v>
      </c>
      <c r="F386" s="2" t="s">
        <v>30</v>
      </c>
      <c r="G386">
        <v>35897</v>
      </c>
      <c r="H386">
        <v>7805.94</v>
      </c>
    </row>
    <row r="387" spans="1:8" hidden="1" x14ac:dyDescent="0.25">
      <c r="A387">
        <v>1435</v>
      </c>
      <c r="B387" s="5">
        <v>45560</v>
      </c>
      <c r="C387" s="2" t="s">
        <v>12</v>
      </c>
      <c r="D387" s="2" t="s">
        <v>9</v>
      </c>
      <c r="E387" s="2" t="s">
        <v>19</v>
      </c>
      <c r="F387" s="2" t="s">
        <v>95</v>
      </c>
      <c r="G387">
        <v>11173</v>
      </c>
      <c r="H387">
        <v>1677.1</v>
      </c>
    </row>
    <row r="388" spans="1:8" hidden="1" x14ac:dyDescent="0.25">
      <c r="A388">
        <v>1418</v>
      </c>
      <c r="B388" s="5">
        <v>45563</v>
      </c>
      <c r="C388" s="2" t="s">
        <v>21</v>
      </c>
      <c r="D388" s="2" t="s">
        <v>13</v>
      </c>
      <c r="E388" s="2" t="s">
        <v>29</v>
      </c>
      <c r="F388" s="2" t="s">
        <v>60</v>
      </c>
      <c r="G388">
        <v>42002</v>
      </c>
      <c r="H388">
        <v>2336.15</v>
      </c>
    </row>
    <row r="389" spans="1:8" hidden="1" x14ac:dyDescent="0.25">
      <c r="A389">
        <v>1159</v>
      </c>
      <c r="B389" s="5">
        <v>45565</v>
      </c>
      <c r="C389" s="2" t="s">
        <v>31</v>
      </c>
      <c r="D389" s="2" t="s">
        <v>13</v>
      </c>
      <c r="E389" s="2" t="s">
        <v>33</v>
      </c>
      <c r="F389" s="2" t="s">
        <v>32</v>
      </c>
      <c r="G389">
        <v>21037</v>
      </c>
      <c r="H389">
        <v>2261.5300000000002</v>
      </c>
    </row>
    <row r="390" spans="1:8" hidden="1" x14ac:dyDescent="0.25">
      <c r="A390">
        <v>1291</v>
      </c>
      <c r="B390" s="5">
        <v>45567</v>
      </c>
      <c r="C390" s="2" t="s">
        <v>8</v>
      </c>
      <c r="D390" s="2" t="s">
        <v>16</v>
      </c>
      <c r="E390" s="2" t="s">
        <v>66</v>
      </c>
      <c r="F390" s="2" t="s">
        <v>65</v>
      </c>
      <c r="G390">
        <v>39901</v>
      </c>
      <c r="H390">
        <v>3897.74</v>
      </c>
    </row>
    <row r="391" spans="1:8" hidden="1" x14ac:dyDescent="0.25">
      <c r="A391">
        <v>1365</v>
      </c>
      <c r="B391" s="5">
        <v>45568</v>
      </c>
      <c r="C391" s="2" t="s">
        <v>8</v>
      </c>
      <c r="D391" s="2" t="s">
        <v>16</v>
      </c>
      <c r="E391" s="2" t="s">
        <v>47</v>
      </c>
      <c r="F391" s="2" t="s">
        <v>50</v>
      </c>
      <c r="G391">
        <v>21905</v>
      </c>
      <c r="H391">
        <v>3238.06</v>
      </c>
    </row>
    <row r="392" spans="1:8" hidden="1" x14ac:dyDescent="0.25">
      <c r="A392">
        <v>1489</v>
      </c>
      <c r="B392" s="5">
        <v>45568</v>
      </c>
      <c r="C392" s="2" t="s">
        <v>8</v>
      </c>
      <c r="D392" s="2" t="s">
        <v>9</v>
      </c>
      <c r="E392" s="2" t="s">
        <v>10</v>
      </c>
      <c r="F392" s="2" t="s">
        <v>36</v>
      </c>
      <c r="G392">
        <v>38683</v>
      </c>
      <c r="H392">
        <v>5053.42</v>
      </c>
    </row>
    <row r="393" spans="1:8" hidden="1" x14ac:dyDescent="0.25">
      <c r="A393">
        <v>1344</v>
      </c>
      <c r="B393" s="5">
        <v>45569</v>
      </c>
      <c r="C393" s="2" t="s">
        <v>31</v>
      </c>
      <c r="D393" s="2" t="s">
        <v>16</v>
      </c>
      <c r="E393" s="2" t="s">
        <v>66</v>
      </c>
      <c r="F393" s="2" t="s">
        <v>83</v>
      </c>
      <c r="G393">
        <v>35094</v>
      </c>
      <c r="H393">
        <v>2186.2800000000002</v>
      </c>
    </row>
    <row r="394" spans="1:8" hidden="1" x14ac:dyDescent="0.25">
      <c r="A394">
        <v>1362</v>
      </c>
      <c r="B394" s="5">
        <v>45570</v>
      </c>
      <c r="C394" s="2" t="s">
        <v>21</v>
      </c>
      <c r="D394" s="2" t="s">
        <v>13</v>
      </c>
      <c r="E394" s="2" t="s">
        <v>22</v>
      </c>
      <c r="F394" s="2" t="s">
        <v>28</v>
      </c>
      <c r="G394">
        <v>12254</v>
      </c>
      <c r="H394">
        <v>2146.35</v>
      </c>
    </row>
    <row r="395" spans="1:8" hidden="1" x14ac:dyDescent="0.25">
      <c r="A395">
        <v>1400</v>
      </c>
      <c r="B395" s="5">
        <v>45570</v>
      </c>
      <c r="C395" s="2" t="s">
        <v>21</v>
      </c>
      <c r="D395" s="2" t="s">
        <v>13</v>
      </c>
      <c r="E395" s="2" t="s">
        <v>29</v>
      </c>
      <c r="F395" s="2" t="s">
        <v>86</v>
      </c>
      <c r="G395">
        <v>51165</v>
      </c>
      <c r="H395">
        <v>5623.49</v>
      </c>
    </row>
    <row r="396" spans="1:8" hidden="1" x14ac:dyDescent="0.25">
      <c r="A396">
        <v>1451</v>
      </c>
      <c r="B396" s="5">
        <v>45572</v>
      </c>
      <c r="C396" s="2" t="s">
        <v>8</v>
      </c>
      <c r="D396" s="2" t="s">
        <v>9</v>
      </c>
      <c r="E396" s="2" t="s">
        <v>27</v>
      </c>
      <c r="F396" s="2" t="s">
        <v>76</v>
      </c>
      <c r="G396">
        <v>37160</v>
      </c>
      <c r="H396">
        <v>6156.2</v>
      </c>
    </row>
    <row r="397" spans="1:8" hidden="1" x14ac:dyDescent="0.25">
      <c r="A397">
        <v>1068</v>
      </c>
      <c r="B397" s="5">
        <v>45573</v>
      </c>
      <c r="C397" s="2" t="s">
        <v>8</v>
      </c>
      <c r="D397" s="2" t="s">
        <v>16</v>
      </c>
      <c r="E397" s="2" t="s">
        <v>17</v>
      </c>
      <c r="F397" s="2" t="s">
        <v>81</v>
      </c>
      <c r="G397">
        <v>51327</v>
      </c>
      <c r="H397">
        <v>2749.91</v>
      </c>
    </row>
    <row r="398" spans="1:8" hidden="1" x14ac:dyDescent="0.25">
      <c r="A398">
        <v>1189</v>
      </c>
      <c r="B398" s="5">
        <v>45573</v>
      </c>
      <c r="C398" s="2" t="s">
        <v>21</v>
      </c>
      <c r="D398" s="2" t="s">
        <v>13</v>
      </c>
      <c r="E398" s="2" t="s">
        <v>41</v>
      </c>
      <c r="F398" s="2" t="s">
        <v>87</v>
      </c>
      <c r="G398">
        <v>39275</v>
      </c>
      <c r="H398">
        <v>4048.56</v>
      </c>
    </row>
    <row r="399" spans="1:8" hidden="1" x14ac:dyDescent="0.25">
      <c r="A399">
        <v>1201</v>
      </c>
      <c r="B399" s="5">
        <v>45573</v>
      </c>
      <c r="C399" s="2" t="s">
        <v>31</v>
      </c>
      <c r="D399" s="2" t="s">
        <v>9</v>
      </c>
      <c r="E399" s="2" t="s">
        <v>25</v>
      </c>
      <c r="F399" s="2" t="s">
        <v>95</v>
      </c>
      <c r="G399">
        <v>52766</v>
      </c>
      <c r="H399">
        <v>5759.18</v>
      </c>
    </row>
    <row r="400" spans="1:8" hidden="1" x14ac:dyDescent="0.25">
      <c r="A400">
        <v>1124</v>
      </c>
      <c r="B400" s="5">
        <v>45574</v>
      </c>
      <c r="C400" s="2" t="s">
        <v>21</v>
      </c>
      <c r="D400" s="2" t="s">
        <v>16</v>
      </c>
      <c r="E400" s="2" t="s">
        <v>66</v>
      </c>
      <c r="F400" s="2" t="s">
        <v>91</v>
      </c>
      <c r="G400">
        <v>11322</v>
      </c>
      <c r="H400">
        <v>1508.93</v>
      </c>
    </row>
    <row r="401" spans="1:8" hidden="1" x14ac:dyDescent="0.25">
      <c r="A401">
        <v>1055</v>
      </c>
      <c r="B401" s="5">
        <v>45575</v>
      </c>
      <c r="C401" s="2" t="s">
        <v>12</v>
      </c>
      <c r="D401" s="2" t="s">
        <v>13</v>
      </c>
      <c r="E401" s="2" t="s">
        <v>33</v>
      </c>
      <c r="F401" s="2" t="s">
        <v>72</v>
      </c>
      <c r="G401">
        <v>957</v>
      </c>
      <c r="H401">
        <v>66.58</v>
      </c>
    </row>
    <row r="402" spans="1:8" hidden="1" x14ac:dyDescent="0.25">
      <c r="A402">
        <v>1066</v>
      </c>
      <c r="B402" s="5">
        <v>45578</v>
      </c>
      <c r="C402" s="2" t="s">
        <v>8</v>
      </c>
      <c r="D402" s="2" t="s">
        <v>16</v>
      </c>
      <c r="E402" s="2" t="s">
        <v>71</v>
      </c>
      <c r="F402" s="2" t="s">
        <v>34</v>
      </c>
      <c r="G402">
        <v>33006</v>
      </c>
      <c r="H402">
        <v>4985.88</v>
      </c>
    </row>
    <row r="403" spans="1:8" hidden="1" x14ac:dyDescent="0.25">
      <c r="A403">
        <v>1135</v>
      </c>
      <c r="B403" s="5">
        <v>45578</v>
      </c>
      <c r="C403" s="2" t="s">
        <v>8</v>
      </c>
      <c r="D403" s="2" t="s">
        <v>9</v>
      </c>
      <c r="E403" s="2" t="s">
        <v>19</v>
      </c>
      <c r="F403" s="2" t="s">
        <v>63</v>
      </c>
      <c r="G403">
        <v>26540</v>
      </c>
      <c r="H403">
        <v>2126.7600000000002</v>
      </c>
    </row>
    <row r="404" spans="1:8" hidden="1" x14ac:dyDescent="0.25">
      <c r="A404">
        <v>1297</v>
      </c>
      <c r="B404" s="5">
        <v>45578</v>
      </c>
      <c r="C404" s="2" t="s">
        <v>31</v>
      </c>
      <c r="D404" s="2" t="s">
        <v>9</v>
      </c>
      <c r="E404" s="2" t="s">
        <v>35</v>
      </c>
      <c r="F404" s="2" t="s">
        <v>101</v>
      </c>
      <c r="G404">
        <v>25524</v>
      </c>
      <c r="H404">
        <v>4636.7700000000004</v>
      </c>
    </row>
    <row r="405" spans="1:8" hidden="1" x14ac:dyDescent="0.25">
      <c r="A405">
        <v>1421</v>
      </c>
      <c r="B405" s="5">
        <v>45578</v>
      </c>
      <c r="C405" s="2" t="s">
        <v>12</v>
      </c>
      <c r="D405" s="2" t="s">
        <v>9</v>
      </c>
      <c r="E405" s="2" t="s">
        <v>35</v>
      </c>
      <c r="F405" s="2" t="s">
        <v>84</v>
      </c>
      <c r="G405">
        <v>50784</v>
      </c>
      <c r="H405">
        <v>8498.4599999999991</v>
      </c>
    </row>
    <row r="406" spans="1:8" hidden="1" x14ac:dyDescent="0.25">
      <c r="A406">
        <v>1392</v>
      </c>
      <c r="B406" s="5">
        <v>45579</v>
      </c>
      <c r="C406" s="2" t="s">
        <v>8</v>
      </c>
      <c r="D406" s="2" t="s">
        <v>9</v>
      </c>
      <c r="E406" s="2" t="s">
        <v>19</v>
      </c>
      <c r="F406" s="2" t="s">
        <v>78</v>
      </c>
      <c r="G406">
        <v>2046</v>
      </c>
      <c r="H406">
        <v>478.64</v>
      </c>
    </row>
    <row r="407" spans="1:8" hidden="1" x14ac:dyDescent="0.25">
      <c r="A407">
        <v>1057</v>
      </c>
      <c r="B407" s="5">
        <v>45581</v>
      </c>
      <c r="C407" s="2" t="s">
        <v>21</v>
      </c>
      <c r="D407" s="2" t="s">
        <v>16</v>
      </c>
      <c r="E407" s="2" t="s">
        <v>71</v>
      </c>
      <c r="F407" s="2" t="s">
        <v>74</v>
      </c>
      <c r="G407">
        <v>20707</v>
      </c>
      <c r="H407">
        <v>1521.02</v>
      </c>
    </row>
    <row r="408" spans="1:8" hidden="1" x14ac:dyDescent="0.25">
      <c r="A408">
        <v>1026</v>
      </c>
      <c r="B408" s="5">
        <v>45582</v>
      </c>
      <c r="C408" s="2" t="s">
        <v>8</v>
      </c>
      <c r="D408" s="2" t="s">
        <v>13</v>
      </c>
      <c r="E408" s="2" t="s">
        <v>29</v>
      </c>
      <c r="F408" s="2" t="s">
        <v>50</v>
      </c>
      <c r="G408">
        <v>52372</v>
      </c>
      <c r="H408">
        <v>11034.48</v>
      </c>
    </row>
    <row r="409" spans="1:8" hidden="1" x14ac:dyDescent="0.25">
      <c r="A409">
        <v>1029</v>
      </c>
      <c r="B409" s="5">
        <v>45582</v>
      </c>
      <c r="C409" s="2" t="s">
        <v>8</v>
      </c>
      <c r="D409" s="2" t="s">
        <v>9</v>
      </c>
      <c r="E409" s="2" t="s">
        <v>10</v>
      </c>
      <c r="F409" s="2" t="s">
        <v>15</v>
      </c>
      <c r="G409">
        <v>38714</v>
      </c>
      <c r="H409">
        <v>7616.65</v>
      </c>
    </row>
    <row r="410" spans="1:8" hidden="1" x14ac:dyDescent="0.25">
      <c r="A410">
        <v>1352</v>
      </c>
      <c r="B410" s="5">
        <v>45582</v>
      </c>
      <c r="C410" s="2" t="s">
        <v>31</v>
      </c>
      <c r="D410" s="2" t="s">
        <v>16</v>
      </c>
      <c r="E410" s="2" t="s">
        <v>47</v>
      </c>
      <c r="F410" s="2" t="s">
        <v>117</v>
      </c>
      <c r="G410">
        <v>49783</v>
      </c>
      <c r="H410">
        <v>5920.55</v>
      </c>
    </row>
    <row r="411" spans="1:8" hidden="1" x14ac:dyDescent="0.25">
      <c r="A411">
        <v>1393</v>
      </c>
      <c r="B411" s="5">
        <v>45582</v>
      </c>
      <c r="C411" s="2" t="s">
        <v>12</v>
      </c>
      <c r="D411" s="2" t="s">
        <v>16</v>
      </c>
      <c r="E411" s="2" t="s">
        <v>47</v>
      </c>
      <c r="F411" s="2" t="s">
        <v>50</v>
      </c>
      <c r="G411">
        <v>12406</v>
      </c>
      <c r="H411">
        <v>1902.16</v>
      </c>
    </row>
    <row r="412" spans="1:8" hidden="1" x14ac:dyDescent="0.25">
      <c r="A412">
        <v>1002</v>
      </c>
      <c r="B412" s="5">
        <v>45583</v>
      </c>
      <c r="C412" s="2" t="s">
        <v>12</v>
      </c>
      <c r="D412" s="2" t="s">
        <v>16</v>
      </c>
      <c r="E412" s="2" t="s">
        <v>17</v>
      </c>
      <c r="F412" s="2" t="s">
        <v>18</v>
      </c>
      <c r="G412">
        <v>26944</v>
      </c>
      <c r="H412">
        <v>6162.54</v>
      </c>
    </row>
    <row r="413" spans="1:8" hidden="1" x14ac:dyDescent="0.25">
      <c r="A413">
        <v>1154</v>
      </c>
      <c r="B413" s="5">
        <v>45583</v>
      </c>
      <c r="C413" s="2" t="s">
        <v>31</v>
      </c>
      <c r="D413" s="2" t="s">
        <v>16</v>
      </c>
      <c r="E413" s="2" t="s">
        <v>47</v>
      </c>
      <c r="F413" s="2" t="s">
        <v>102</v>
      </c>
      <c r="G413">
        <v>15176</v>
      </c>
      <c r="H413">
        <v>1600.31</v>
      </c>
    </row>
    <row r="414" spans="1:8" hidden="1" x14ac:dyDescent="0.25">
      <c r="A414">
        <v>1309</v>
      </c>
      <c r="B414" s="5">
        <v>45583</v>
      </c>
      <c r="C414" s="2" t="s">
        <v>21</v>
      </c>
      <c r="D414" s="2" t="s">
        <v>16</v>
      </c>
      <c r="E414" s="2" t="s">
        <v>47</v>
      </c>
      <c r="F414" s="2" t="s">
        <v>60</v>
      </c>
      <c r="G414">
        <v>55770</v>
      </c>
      <c r="H414">
        <v>4475.82</v>
      </c>
    </row>
    <row r="415" spans="1:8" hidden="1" x14ac:dyDescent="0.25">
      <c r="A415">
        <v>1043</v>
      </c>
      <c r="B415" s="5">
        <v>45584</v>
      </c>
      <c r="C415" s="2" t="s">
        <v>21</v>
      </c>
      <c r="D415" s="2" t="s">
        <v>16</v>
      </c>
      <c r="E415" s="2" t="s">
        <v>17</v>
      </c>
      <c r="F415" s="2" t="s">
        <v>64</v>
      </c>
      <c r="G415">
        <v>13817</v>
      </c>
      <c r="H415">
        <v>3352.59</v>
      </c>
    </row>
    <row r="416" spans="1:8" hidden="1" x14ac:dyDescent="0.25">
      <c r="A416">
        <v>1046</v>
      </c>
      <c r="B416" s="5">
        <v>45585</v>
      </c>
      <c r="C416" s="2" t="s">
        <v>31</v>
      </c>
      <c r="D416" s="2" t="s">
        <v>16</v>
      </c>
      <c r="E416" s="2" t="s">
        <v>66</v>
      </c>
      <c r="F416" s="2" t="s">
        <v>67</v>
      </c>
      <c r="G416">
        <v>34827</v>
      </c>
      <c r="H416">
        <v>3185.29</v>
      </c>
    </row>
    <row r="417" spans="1:8" hidden="1" x14ac:dyDescent="0.25">
      <c r="A417">
        <v>1019</v>
      </c>
      <c r="B417" s="5">
        <v>45587</v>
      </c>
      <c r="C417" s="2" t="s">
        <v>21</v>
      </c>
      <c r="D417" s="2" t="s">
        <v>16</v>
      </c>
      <c r="E417" s="2" t="s">
        <v>44</v>
      </c>
      <c r="F417" s="2" t="s">
        <v>45</v>
      </c>
      <c r="G417">
        <v>3932</v>
      </c>
      <c r="H417">
        <v>850.42</v>
      </c>
    </row>
    <row r="418" spans="1:8" hidden="1" x14ac:dyDescent="0.25">
      <c r="A418">
        <v>1070</v>
      </c>
      <c r="B418" s="5">
        <v>45587</v>
      </c>
      <c r="C418" s="2" t="s">
        <v>8</v>
      </c>
      <c r="D418" s="2" t="s">
        <v>16</v>
      </c>
      <c r="E418" s="2" t="s">
        <v>47</v>
      </c>
      <c r="F418" s="2" t="s">
        <v>43</v>
      </c>
      <c r="G418">
        <v>23621</v>
      </c>
      <c r="H418">
        <v>2364.67</v>
      </c>
    </row>
    <row r="419" spans="1:8" hidden="1" x14ac:dyDescent="0.25">
      <c r="A419">
        <v>1095</v>
      </c>
      <c r="B419" s="5">
        <v>45587</v>
      </c>
      <c r="C419" s="2" t="s">
        <v>21</v>
      </c>
      <c r="D419" s="2" t="s">
        <v>13</v>
      </c>
      <c r="E419" s="2" t="s">
        <v>14</v>
      </c>
      <c r="F419" s="2" t="s">
        <v>82</v>
      </c>
      <c r="G419">
        <v>58210</v>
      </c>
      <c r="H419">
        <v>4933.16</v>
      </c>
    </row>
    <row r="420" spans="1:8" hidden="1" x14ac:dyDescent="0.25">
      <c r="A420">
        <v>1097</v>
      </c>
      <c r="B420" s="5">
        <v>45587</v>
      </c>
      <c r="C420" s="2" t="s">
        <v>31</v>
      </c>
      <c r="D420" s="2" t="s">
        <v>9</v>
      </c>
      <c r="E420" s="2" t="s">
        <v>27</v>
      </c>
      <c r="F420" s="2" t="s">
        <v>82</v>
      </c>
      <c r="G420">
        <v>35469</v>
      </c>
      <c r="H420">
        <v>7649.77</v>
      </c>
    </row>
    <row r="421" spans="1:8" hidden="1" x14ac:dyDescent="0.25">
      <c r="A421">
        <v>1397</v>
      </c>
      <c r="B421" s="5">
        <v>45588</v>
      </c>
      <c r="C421" s="2" t="s">
        <v>8</v>
      </c>
      <c r="D421" s="2" t="s">
        <v>9</v>
      </c>
      <c r="E421" s="2" t="s">
        <v>10</v>
      </c>
      <c r="F421" s="2" t="s">
        <v>53</v>
      </c>
      <c r="G421">
        <v>45221</v>
      </c>
      <c r="H421">
        <v>5797.19</v>
      </c>
    </row>
    <row r="422" spans="1:8" hidden="1" x14ac:dyDescent="0.25">
      <c r="A422">
        <v>1325</v>
      </c>
      <c r="B422" s="5">
        <v>45589</v>
      </c>
      <c r="C422" s="2" t="s">
        <v>21</v>
      </c>
      <c r="D422" s="2" t="s">
        <v>16</v>
      </c>
      <c r="E422" s="2" t="s">
        <v>66</v>
      </c>
      <c r="F422" s="2" t="s">
        <v>101</v>
      </c>
      <c r="G422">
        <v>16213</v>
      </c>
      <c r="H422">
        <v>3528.07</v>
      </c>
    </row>
    <row r="423" spans="1:8" hidden="1" x14ac:dyDescent="0.25">
      <c r="A423">
        <v>1260</v>
      </c>
      <c r="B423" s="5">
        <v>45591</v>
      </c>
      <c r="C423" s="2" t="s">
        <v>12</v>
      </c>
      <c r="D423" s="2" t="s">
        <v>9</v>
      </c>
      <c r="E423" s="2" t="s">
        <v>19</v>
      </c>
      <c r="F423" s="2" t="s">
        <v>102</v>
      </c>
      <c r="G423">
        <v>11385</v>
      </c>
      <c r="H423">
        <v>1992.67</v>
      </c>
    </row>
    <row r="424" spans="1:8" hidden="1" x14ac:dyDescent="0.25">
      <c r="A424">
        <v>1417</v>
      </c>
      <c r="B424" s="5">
        <v>45591</v>
      </c>
      <c r="C424" s="2" t="s">
        <v>8</v>
      </c>
      <c r="D424" s="2" t="s">
        <v>13</v>
      </c>
      <c r="E424" s="2" t="s">
        <v>14</v>
      </c>
      <c r="F424" s="2" t="s">
        <v>98</v>
      </c>
      <c r="G424">
        <v>34567</v>
      </c>
      <c r="H424">
        <v>4285.84</v>
      </c>
    </row>
    <row r="425" spans="1:8" hidden="1" x14ac:dyDescent="0.25">
      <c r="A425">
        <v>1004</v>
      </c>
      <c r="B425" s="5">
        <v>45592</v>
      </c>
      <c r="C425" s="2" t="s">
        <v>21</v>
      </c>
      <c r="D425" s="2" t="s">
        <v>13</v>
      </c>
      <c r="E425" s="2" t="s">
        <v>22</v>
      </c>
      <c r="F425" s="2" t="s">
        <v>23</v>
      </c>
      <c r="G425">
        <v>33227</v>
      </c>
      <c r="H425">
        <v>2894.78</v>
      </c>
    </row>
    <row r="426" spans="1:8" hidden="1" x14ac:dyDescent="0.25">
      <c r="A426">
        <v>1094</v>
      </c>
      <c r="B426" s="5">
        <v>45592</v>
      </c>
      <c r="C426" s="2" t="s">
        <v>21</v>
      </c>
      <c r="D426" s="2" t="s">
        <v>9</v>
      </c>
      <c r="E426" s="2" t="s">
        <v>19</v>
      </c>
      <c r="F426" s="2" t="s">
        <v>95</v>
      </c>
      <c r="G426">
        <v>27073</v>
      </c>
      <c r="H426">
        <v>1360.86</v>
      </c>
    </row>
    <row r="427" spans="1:8" hidden="1" x14ac:dyDescent="0.25">
      <c r="A427">
        <v>1294</v>
      </c>
      <c r="B427" s="5">
        <v>45594</v>
      </c>
      <c r="C427" s="2" t="s">
        <v>21</v>
      </c>
      <c r="D427" s="2" t="s">
        <v>9</v>
      </c>
      <c r="E427" s="2" t="s">
        <v>25</v>
      </c>
      <c r="F427" s="2" t="s">
        <v>59</v>
      </c>
      <c r="G427">
        <v>45887</v>
      </c>
      <c r="H427">
        <v>9402.92</v>
      </c>
    </row>
    <row r="428" spans="1:8" hidden="1" x14ac:dyDescent="0.25">
      <c r="A428">
        <v>1270</v>
      </c>
      <c r="B428" s="5">
        <v>45595</v>
      </c>
      <c r="C428" s="2" t="s">
        <v>21</v>
      </c>
      <c r="D428" s="2" t="s">
        <v>16</v>
      </c>
      <c r="E428" s="2" t="s">
        <v>47</v>
      </c>
      <c r="F428" s="2" t="s">
        <v>118</v>
      </c>
      <c r="G428">
        <v>50391</v>
      </c>
      <c r="H428">
        <v>8072.33</v>
      </c>
    </row>
    <row r="429" spans="1:8" hidden="1" x14ac:dyDescent="0.25">
      <c r="A429">
        <v>1281</v>
      </c>
      <c r="B429" s="5">
        <v>45596</v>
      </c>
      <c r="C429" s="2" t="s">
        <v>12</v>
      </c>
      <c r="D429" s="2" t="s">
        <v>13</v>
      </c>
      <c r="E429" s="2" t="s">
        <v>29</v>
      </c>
      <c r="F429" s="2" t="s">
        <v>121</v>
      </c>
      <c r="G429">
        <v>48627</v>
      </c>
      <c r="H429">
        <v>7500.49</v>
      </c>
    </row>
    <row r="430" spans="1:8" hidden="1" x14ac:dyDescent="0.25">
      <c r="A430">
        <v>1284</v>
      </c>
      <c r="B430" s="5">
        <v>45596</v>
      </c>
      <c r="C430" s="2" t="s">
        <v>8</v>
      </c>
      <c r="D430" s="2" t="s">
        <v>13</v>
      </c>
      <c r="E430" s="2" t="s">
        <v>14</v>
      </c>
      <c r="F430" s="2" t="s">
        <v>118</v>
      </c>
      <c r="G430">
        <v>57361</v>
      </c>
      <c r="H430">
        <v>4349.84</v>
      </c>
    </row>
    <row r="431" spans="1:8" hidden="1" x14ac:dyDescent="0.25">
      <c r="A431">
        <v>1308</v>
      </c>
      <c r="B431" s="5">
        <v>45596</v>
      </c>
      <c r="C431" s="2" t="s">
        <v>21</v>
      </c>
      <c r="D431" s="2" t="s">
        <v>13</v>
      </c>
      <c r="E431" s="2" t="s">
        <v>29</v>
      </c>
      <c r="F431" s="2" t="s">
        <v>52</v>
      </c>
      <c r="G431">
        <v>18563</v>
      </c>
      <c r="H431">
        <v>3789.56</v>
      </c>
    </row>
    <row r="432" spans="1:8" hidden="1" x14ac:dyDescent="0.25">
      <c r="A432">
        <v>1001</v>
      </c>
      <c r="B432" s="5">
        <v>45599</v>
      </c>
      <c r="C432" s="2" t="s">
        <v>12</v>
      </c>
      <c r="D432" s="2" t="s">
        <v>13</v>
      </c>
      <c r="E432" s="2" t="s">
        <v>14</v>
      </c>
      <c r="F432" s="2" t="s">
        <v>15</v>
      </c>
      <c r="G432">
        <v>37397</v>
      </c>
      <c r="H432">
        <v>2692.45</v>
      </c>
    </row>
    <row r="433" spans="1:8" hidden="1" x14ac:dyDescent="0.25">
      <c r="A433">
        <v>1324</v>
      </c>
      <c r="B433" s="5">
        <v>45599</v>
      </c>
      <c r="C433" s="2" t="s">
        <v>12</v>
      </c>
      <c r="D433" s="2" t="s">
        <v>9</v>
      </c>
      <c r="E433" s="2" t="s">
        <v>19</v>
      </c>
      <c r="F433" s="2" t="s">
        <v>80</v>
      </c>
      <c r="G433">
        <v>45460</v>
      </c>
      <c r="H433">
        <v>10063.280000000001</v>
      </c>
    </row>
    <row r="434" spans="1:8" hidden="1" x14ac:dyDescent="0.25">
      <c r="A434">
        <v>1215</v>
      </c>
      <c r="B434" s="5">
        <v>45600</v>
      </c>
      <c r="C434" s="2" t="s">
        <v>21</v>
      </c>
      <c r="D434" s="2" t="s">
        <v>13</v>
      </c>
      <c r="E434" s="2" t="s">
        <v>14</v>
      </c>
      <c r="F434" s="2" t="s">
        <v>34</v>
      </c>
      <c r="G434">
        <v>46486</v>
      </c>
      <c r="H434">
        <v>4085.2</v>
      </c>
    </row>
    <row r="435" spans="1:8" hidden="1" x14ac:dyDescent="0.25">
      <c r="A435">
        <v>1427</v>
      </c>
      <c r="B435" s="5">
        <v>45601</v>
      </c>
      <c r="C435" s="2" t="s">
        <v>31</v>
      </c>
      <c r="D435" s="2" t="s">
        <v>9</v>
      </c>
      <c r="E435" s="2" t="s">
        <v>25</v>
      </c>
      <c r="F435" s="2" t="s">
        <v>115</v>
      </c>
      <c r="G435">
        <v>46178</v>
      </c>
      <c r="H435">
        <v>10369.459999999999</v>
      </c>
    </row>
    <row r="436" spans="1:8" hidden="1" x14ac:dyDescent="0.25">
      <c r="A436">
        <v>1011</v>
      </c>
      <c r="B436" s="5">
        <v>45602</v>
      </c>
      <c r="C436" s="2" t="s">
        <v>12</v>
      </c>
      <c r="D436" s="2" t="s">
        <v>13</v>
      </c>
      <c r="E436" s="2" t="s">
        <v>29</v>
      </c>
      <c r="F436" s="2" t="s">
        <v>34</v>
      </c>
      <c r="G436">
        <v>22381</v>
      </c>
      <c r="H436">
        <v>2858.73</v>
      </c>
    </row>
    <row r="437" spans="1:8" hidden="1" x14ac:dyDescent="0.25">
      <c r="A437">
        <v>1089</v>
      </c>
      <c r="B437" s="5">
        <v>45602</v>
      </c>
      <c r="C437" s="2" t="s">
        <v>21</v>
      </c>
      <c r="D437" s="2" t="s">
        <v>13</v>
      </c>
      <c r="E437" s="2" t="s">
        <v>14</v>
      </c>
      <c r="F437" s="2" t="s">
        <v>77</v>
      </c>
      <c r="G437">
        <v>50206</v>
      </c>
      <c r="H437">
        <v>11104.04</v>
      </c>
    </row>
    <row r="438" spans="1:8" hidden="1" x14ac:dyDescent="0.25">
      <c r="A438">
        <v>1480</v>
      </c>
      <c r="B438" s="5">
        <v>45606</v>
      </c>
      <c r="C438" s="2" t="s">
        <v>21</v>
      </c>
      <c r="D438" s="2" t="s">
        <v>13</v>
      </c>
      <c r="E438" s="2" t="s">
        <v>22</v>
      </c>
      <c r="F438" s="2" t="s">
        <v>87</v>
      </c>
      <c r="G438">
        <v>39798</v>
      </c>
      <c r="H438">
        <v>4566.08</v>
      </c>
    </row>
    <row r="439" spans="1:8" hidden="1" x14ac:dyDescent="0.25">
      <c r="A439">
        <v>1410</v>
      </c>
      <c r="B439" s="5">
        <v>45607</v>
      </c>
      <c r="C439" s="2" t="s">
        <v>12</v>
      </c>
      <c r="D439" s="2" t="s">
        <v>9</v>
      </c>
      <c r="E439" s="2" t="s">
        <v>19</v>
      </c>
      <c r="F439" s="2" t="s">
        <v>83</v>
      </c>
      <c r="G439">
        <v>21964</v>
      </c>
      <c r="H439">
        <v>4463.3900000000003</v>
      </c>
    </row>
    <row r="440" spans="1:8" hidden="1" x14ac:dyDescent="0.25">
      <c r="A440">
        <v>1414</v>
      </c>
      <c r="B440" s="5">
        <v>45608</v>
      </c>
      <c r="C440" s="2" t="s">
        <v>31</v>
      </c>
      <c r="D440" s="2" t="s">
        <v>13</v>
      </c>
      <c r="E440" s="2" t="s">
        <v>22</v>
      </c>
      <c r="F440" s="2" t="s">
        <v>127</v>
      </c>
      <c r="G440">
        <v>46662</v>
      </c>
      <c r="H440">
        <v>3582.4</v>
      </c>
    </row>
    <row r="441" spans="1:8" hidden="1" x14ac:dyDescent="0.25">
      <c r="A441">
        <v>1464</v>
      </c>
      <c r="B441" s="5">
        <v>45608</v>
      </c>
      <c r="C441" s="2" t="s">
        <v>31</v>
      </c>
      <c r="D441" s="2" t="s">
        <v>13</v>
      </c>
      <c r="E441" s="2" t="s">
        <v>41</v>
      </c>
      <c r="F441" s="2" t="s">
        <v>77</v>
      </c>
      <c r="G441">
        <v>13825</v>
      </c>
      <c r="H441">
        <v>1054.19</v>
      </c>
    </row>
    <row r="442" spans="1:8" hidden="1" x14ac:dyDescent="0.25">
      <c r="A442">
        <v>1495</v>
      </c>
      <c r="B442" s="5">
        <v>45609</v>
      </c>
      <c r="C442" s="2" t="s">
        <v>21</v>
      </c>
      <c r="D442" s="2" t="s">
        <v>9</v>
      </c>
      <c r="E442" s="2" t="s">
        <v>27</v>
      </c>
      <c r="F442" s="2" t="s">
        <v>62</v>
      </c>
      <c r="G442">
        <v>5269</v>
      </c>
      <c r="H442">
        <v>425.82</v>
      </c>
    </row>
    <row r="443" spans="1:8" hidden="1" x14ac:dyDescent="0.25">
      <c r="A443">
        <v>1248</v>
      </c>
      <c r="B443" s="5">
        <v>45611</v>
      </c>
      <c r="C443" s="2" t="s">
        <v>21</v>
      </c>
      <c r="D443" s="2" t="s">
        <v>16</v>
      </c>
      <c r="E443" s="2" t="s">
        <v>66</v>
      </c>
      <c r="F443" s="2" t="s">
        <v>96</v>
      </c>
      <c r="G443">
        <v>47791</v>
      </c>
      <c r="H443">
        <v>7222.96</v>
      </c>
    </row>
    <row r="444" spans="1:8" hidden="1" x14ac:dyDescent="0.25">
      <c r="A444">
        <v>1101</v>
      </c>
      <c r="B444" s="5">
        <v>45612</v>
      </c>
      <c r="C444" s="2" t="s">
        <v>31</v>
      </c>
      <c r="D444" s="2" t="s">
        <v>9</v>
      </c>
      <c r="E444" s="2" t="s">
        <v>10</v>
      </c>
      <c r="F444" s="2" t="s">
        <v>18</v>
      </c>
      <c r="G444">
        <v>6131</v>
      </c>
      <c r="H444">
        <v>829.5</v>
      </c>
    </row>
    <row r="445" spans="1:8" hidden="1" x14ac:dyDescent="0.25">
      <c r="A445">
        <v>1413</v>
      </c>
      <c r="B445" s="5">
        <v>45612</v>
      </c>
      <c r="C445" s="2" t="s">
        <v>31</v>
      </c>
      <c r="D445" s="2" t="s">
        <v>16</v>
      </c>
      <c r="E445" s="2" t="s">
        <v>66</v>
      </c>
      <c r="F445" s="2" t="s">
        <v>95</v>
      </c>
      <c r="G445">
        <v>39811</v>
      </c>
      <c r="H445">
        <v>8612.82</v>
      </c>
    </row>
    <row r="446" spans="1:8" hidden="1" x14ac:dyDescent="0.25">
      <c r="A446">
        <v>1398</v>
      </c>
      <c r="B446" s="5">
        <v>45615</v>
      </c>
      <c r="C446" s="2" t="s">
        <v>31</v>
      </c>
      <c r="D446" s="2" t="s">
        <v>9</v>
      </c>
      <c r="E446" s="2" t="s">
        <v>25</v>
      </c>
      <c r="F446" s="2" t="s">
        <v>59</v>
      </c>
      <c r="G446">
        <v>5246</v>
      </c>
      <c r="H446">
        <v>946.63</v>
      </c>
    </row>
    <row r="447" spans="1:8" hidden="1" x14ac:dyDescent="0.25">
      <c r="A447">
        <v>1293</v>
      </c>
      <c r="B447" s="5">
        <v>45616</v>
      </c>
      <c r="C447" s="2" t="s">
        <v>8</v>
      </c>
      <c r="D447" s="2" t="s">
        <v>9</v>
      </c>
      <c r="E447" s="2" t="s">
        <v>25</v>
      </c>
      <c r="F447" s="2" t="s">
        <v>55</v>
      </c>
      <c r="G447">
        <v>18144</v>
      </c>
      <c r="H447">
        <v>3928.02</v>
      </c>
    </row>
    <row r="448" spans="1:8" hidden="1" x14ac:dyDescent="0.25">
      <c r="A448">
        <v>1342</v>
      </c>
      <c r="B448" s="5">
        <v>45617</v>
      </c>
      <c r="C448" s="2" t="s">
        <v>31</v>
      </c>
      <c r="D448" s="2" t="s">
        <v>16</v>
      </c>
      <c r="E448" s="2" t="s">
        <v>17</v>
      </c>
      <c r="F448" s="2" t="s">
        <v>23</v>
      </c>
      <c r="G448">
        <v>47614</v>
      </c>
      <c r="H448">
        <v>5193.04</v>
      </c>
    </row>
    <row r="449" spans="1:8" hidden="1" x14ac:dyDescent="0.25">
      <c r="A449">
        <v>1465</v>
      </c>
      <c r="B449" s="5">
        <v>45618</v>
      </c>
      <c r="C449" s="2" t="s">
        <v>21</v>
      </c>
      <c r="D449" s="2" t="s">
        <v>16</v>
      </c>
      <c r="E449" s="2" t="s">
        <v>17</v>
      </c>
      <c r="F449" s="2" t="s">
        <v>84</v>
      </c>
      <c r="G449">
        <v>43558</v>
      </c>
      <c r="H449">
        <v>7188.82</v>
      </c>
    </row>
    <row r="450" spans="1:8" hidden="1" x14ac:dyDescent="0.25">
      <c r="A450">
        <v>1157</v>
      </c>
      <c r="B450" s="5">
        <v>45620</v>
      </c>
      <c r="C450" s="2" t="s">
        <v>21</v>
      </c>
      <c r="D450" s="2" t="s">
        <v>9</v>
      </c>
      <c r="E450" s="2" t="s">
        <v>19</v>
      </c>
      <c r="F450" s="2" t="s">
        <v>109</v>
      </c>
      <c r="G450">
        <v>20953</v>
      </c>
      <c r="H450">
        <v>1484.14</v>
      </c>
    </row>
    <row r="451" spans="1:8" hidden="1" x14ac:dyDescent="0.25">
      <c r="A451">
        <v>1287</v>
      </c>
      <c r="B451" s="5">
        <v>45620</v>
      </c>
      <c r="C451" s="2" t="s">
        <v>31</v>
      </c>
      <c r="D451" s="2" t="s">
        <v>16</v>
      </c>
      <c r="E451" s="2" t="s">
        <v>66</v>
      </c>
      <c r="F451" s="2" t="s">
        <v>95</v>
      </c>
      <c r="G451">
        <v>56807</v>
      </c>
      <c r="H451">
        <v>7619.14</v>
      </c>
    </row>
    <row r="452" spans="1:8" hidden="1" x14ac:dyDescent="0.25">
      <c r="A452">
        <v>1104</v>
      </c>
      <c r="B452" s="5">
        <v>45621</v>
      </c>
      <c r="C452" s="2" t="s">
        <v>31</v>
      </c>
      <c r="D452" s="2" t="s">
        <v>9</v>
      </c>
      <c r="E452" s="2" t="s">
        <v>35</v>
      </c>
      <c r="F452" s="2" t="s">
        <v>77</v>
      </c>
      <c r="G452">
        <v>7863</v>
      </c>
      <c r="H452">
        <v>622.35</v>
      </c>
    </row>
    <row r="453" spans="1:8" hidden="1" x14ac:dyDescent="0.25">
      <c r="A453">
        <v>1259</v>
      </c>
      <c r="B453" s="5">
        <v>45621</v>
      </c>
      <c r="C453" s="2" t="s">
        <v>21</v>
      </c>
      <c r="D453" s="2" t="s">
        <v>16</v>
      </c>
      <c r="E453" s="2" t="s">
        <v>47</v>
      </c>
      <c r="F453" s="2" t="s">
        <v>91</v>
      </c>
      <c r="G453">
        <v>44913</v>
      </c>
      <c r="H453">
        <v>5318.86</v>
      </c>
    </row>
    <row r="454" spans="1:8" hidden="1" x14ac:dyDescent="0.25">
      <c r="A454">
        <v>1481</v>
      </c>
      <c r="B454" s="5">
        <v>45621</v>
      </c>
      <c r="C454" s="2" t="s">
        <v>31</v>
      </c>
      <c r="D454" s="2" t="s">
        <v>16</v>
      </c>
      <c r="E454" s="2" t="s">
        <v>66</v>
      </c>
      <c r="F454" s="2" t="s">
        <v>128</v>
      </c>
      <c r="G454">
        <v>32814</v>
      </c>
      <c r="H454">
        <v>1891.51</v>
      </c>
    </row>
    <row r="455" spans="1:8" hidden="1" x14ac:dyDescent="0.25">
      <c r="A455">
        <v>1252</v>
      </c>
      <c r="B455" s="5">
        <v>45624</v>
      </c>
      <c r="C455" s="2" t="s">
        <v>21</v>
      </c>
      <c r="D455" s="2" t="s">
        <v>13</v>
      </c>
      <c r="E455" s="2" t="s">
        <v>22</v>
      </c>
      <c r="F455" s="2" t="s">
        <v>98</v>
      </c>
      <c r="G455">
        <v>27621</v>
      </c>
      <c r="H455">
        <v>5966.76</v>
      </c>
    </row>
    <row r="456" spans="1:8" hidden="1" x14ac:dyDescent="0.25">
      <c r="A456">
        <v>1219</v>
      </c>
      <c r="B456" s="5">
        <v>45625</v>
      </c>
      <c r="C456" s="2" t="s">
        <v>31</v>
      </c>
      <c r="D456" s="2" t="s">
        <v>13</v>
      </c>
      <c r="E456" s="2" t="s">
        <v>29</v>
      </c>
      <c r="F456" s="2" t="s">
        <v>107</v>
      </c>
      <c r="G456">
        <v>27796</v>
      </c>
      <c r="H456">
        <v>6283.46</v>
      </c>
    </row>
    <row r="457" spans="1:8" hidden="1" x14ac:dyDescent="0.25">
      <c r="A457">
        <v>1233</v>
      </c>
      <c r="B457" s="5">
        <v>45625</v>
      </c>
      <c r="C457" s="2" t="s">
        <v>12</v>
      </c>
      <c r="D457" s="2" t="s">
        <v>13</v>
      </c>
      <c r="E457" s="2" t="s">
        <v>22</v>
      </c>
      <c r="F457" s="2" t="s">
        <v>30</v>
      </c>
      <c r="G457">
        <v>27078</v>
      </c>
      <c r="H457">
        <v>2464.63</v>
      </c>
    </row>
    <row r="458" spans="1:8" hidden="1" x14ac:dyDescent="0.25">
      <c r="A458">
        <v>1064</v>
      </c>
      <c r="B458" s="5">
        <v>45626</v>
      </c>
      <c r="C458" s="2" t="s">
        <v>12</v>
      </c>
      <c r="D458" s="2" t="s">
        <v>16</v>
      </c>
      <c r="E458" s="2" t="s">
        <v>44</v>
      </c>
      <c r="F458" s="2" t="s">
        <v>80</v>
      </c>
      <c r="G458">
        <v>4257</v>
      </c>
      <c r="H458">
        <v>612.99</v>
      </c>
    </row>
    <row r="459" spans="1:8" hidden="1" x14ac:dyDescent="0.25">
      <c r="A459">
        <v>1142</v>
      </c>
      <c r="B459" s="5">
        <v>45626</v>
      </c>
      <c r="C459" s="2" t="s">
        <v>31</v>
      </c>
      <c r="D459" s="2" t="s">
        <v>9</v>
      </c>
      <c r="E459" s="2" t="s">
        <v>25</v>
      </c>
      <c r="F459" s="2" t="s">
        <v>83</v>
      </c>
      <c r="G459">
        <v>12788</v>
      </c>
      <c r="H459">
        <v>752.96</v>
      </c>
    </row>
    <row r="460" spans="1:8" hidden="1" x14ac:dyDescent="0.25">
      <c r="A460">
        <v>1183</v>
      </c>
      <c r="B460" s="5">
        <v>45626</v>
      </c>
      <c r="C460" s="2" t="s">
        <v>8</v>
      </c>
      <c r="D460" s="2" t="s">
        <v>13</v>
      </c>
      <c r="E460" s="2" t="s">
        <v>41</v>
      </c>
      <c r="F460" s="2" t="s">
        <v>28</v>
      </c>
      <c r="G460">
        <v>17720</v>
      </c>
      <c r="H460">
        <v>3190.28</v>
      </c>
    </row>
    <row r="461" spans="1:8" hidden="1" x14ac:dyDescent="0.25">
      <c r="A461">
        <v>1079</v>
      </c>
      <c r="B461" s="5">
        <v>45627</v>
      </c>
      <c r="C461" s="2" t="s">
        <v>31</v>
      </c>
      <c r="D461" s="2" t="s">
        <v>13</v>
      </c>
      <c r="E461" s="2" t="s">
        <v>22</v>
      </c>
      <c r="F461" s="2" t="s">
        <v>32</v>
      </c>
      <c r="G461">
        <v>953</v>
      </c>
      <c r="H461">
        <v>106.45</v>
      </c>
    </row>
    <row r="462" spans="1:8" hidden="1" x14ac:dyDescent="0.25">
      <c r="A462">
        <v>1024</v>
      </c>
      <c r="B462" s="5">
        <v>45628</v>
      </c>
      <c r="C462" s="2" t="s">
        <v>8</v>
      </c>
      <c r="D462" s="2" t="s">
        <v>13</v>
      </c>
      <c r="E462" s="2" t="s">
        <v>22</v>
      </c>
      <c r="F462" s="2" t="s">
        <v>49</v>
      </c>
      <c r="G462">
        <v>25137</v>
      </c>
      <c r="H462">
        <v>1538.16</v>
      </c>
    </row>
    <row r="463" spans="1:8" hidden="1" x14ac:dyDescent="0.25">
      <c r="A463">
        <v>1240</v>
      </c>
      <c r="B463" s="5">
        <v>45628</v>
      </c>
      <c r="C463" s="2" t="s">
        <v>31</v>
      </c>
      <c r="D463" s="2" t="s">
        <v>16</v>
      </c>
      <c r="E463" s="2" t="s">
        <v>47</v>
      </c>
      <c r="F463" s="2" t="s">
        <v>46</v>
      </c>
      <c r="G463">
        <v>51476</v>
      </c>
      <c r="H463">
        <v>12078.2</v>
      </c>
    </row>
    <row r="464" spans="1:8" hidden="1" x14ac:dyDescent="0.25">
      <c r="A464">
        <v>1433</v>
      </c>
      <c r="B464" s="5">
        <v>45630</v>
      </c>
      <c r="C464" s="2" t="s">
        <v>31</v>
      </c>
      <c r="D464" s="2" t="s">
        <v>9</v>
      </c>
      <c r="E464" s="2" t="s">
        <v>27</v>
      </c>
      <c r="F464" s="2" t="s">
        <v>95</v>
      </c>
      <c r="G464">
        <v>19765</v>
      </c>
      <c r="H464">
        <v>3991.11</v>
      </c>
    </row>
    <row r="465" spans="1:8" hidden="1" x14ac:dyDescent="0.25">
      <c r="A465">
        <v>1312</v>
      </c>
      <c r="B465" s="5">
        <v>45631</v>
      </c>
      <c r="C465" s="2" t="s">
        <v>8</v>
      </c>
      <c r="D465" s="2" t="s">
        <v>16</v>
      </c>
      <c r="E465" s="2" t="s">
        <v>17</v>
      </c>
      <c r="F465" s="2" t="s">
        <v>94</v>
      </c>
      <c r="G465">
        <v>14777</v>
      </c>
      <c r="H465">
        <v>1457.9</v>
      </c>
    </row>
    <row r="466" spans="1:8" hidden="1" x14ac:dyDescent="0.25">
      <c r="A466">
        <v>1432</v>
      </c>
      <c r="B466" s="5">
        <v>45631</v>
      </c>
      <c r="C466" s="2" t="s">
        <v>12</v>
      </c>
      <c r="D466" s="2" t="s">
        <v>13</v>
      </c>
      <c r="E466" s="2" t="s">
        <v>41</v>
      </c>
      <c r="F466" s="2" t="s">
        <v>59</v>
      </c>
      <c r="G466">
        <v>41686</v>
      </c>
      <c r="H466">
        <v>4018.02</v>
      </c>
    </row>
    <row r="467" spans="1:8" hidden="1" x14ac:dyDescent="0.25">
      <c r="A467">
        <v>1116</v>
      </c>
      <c r="B467" s="5">
        <v>45633</v>
      </c>
      <c r="C467" s="2" t="s">
        <v>21</v>
      </c>
      <c r="D467" s="2" t="s">
        <v>13</v>
      </c>
      <c r="E467" s="2" t="s">
        <v>33</v>
      </c>
      <c r="F467" s="2" t="s">
        <v>36</v>
      </c>
      <c r="G467">
        <v>42186</v>
      </c>
      <c r="H467">
        <v>9840.9</v>
      </c>
    </row>
    <row r="468" spans="1:8" hidden="1" x14ac:dyDescent="0.25">
      <c r="A468">
        <v>1109</v>
      </c>
      <c r="B468" s="5">
        <v>45634</v>
      </c>
      <c r="C468" s="2" t="s">
        <v>21</v>
      </c>
      <c r="D468" s="2" t="s">
        <v>9</v>
      </c>
      <c r="E468" s="2" t="s">
        <v>19</v>
      </c>
      <c r="F468" s="2" t="s">
        <v>98</v>
      </c>
      <c r="G468">
        <v>42205</v>
      </c>
      <c r="H468">
        <v>4856.3999999999996</v>
      </c>
    </row>
    <row r="469" spans="1:8" hidden="1" x14ac:dyDescent="0.25">
      <c r="A469">
        <v>1346</v>
      </c>
      <c r="B469" s="5">
        <v>45634</v>
      </c>
      <c r="C469" s="2" t="s">
        <v>8</v>
      </c>
      <c r="D469" s="2" t="s">
        <v>16</v>
      </c>
      <c r="E469" s="2" t="s">
        <v>47</v>
      </c>
      <c r="F469" s="2" t="s">
        <v>127</v>
      </c>
      <c r="G469">
        <v>52682</v>
      </c>
      <c r="H469">
        <v>8714.26</v>
      </c>
    </row>
    <row r="470" spans="1:8" hidden="1" x14ac:dyDescent="0.25">
      <c r="A470">
        <v>1366</v>
      </c>
      <c r="B470" s="5">
        <v>45635</v>
      </c>
      <c r="C470" s="2" t="s">
        <v>12</v>
      </c>
      <c r="D470" s="2" t="s">
        <v>16</v>
      </c>
      <c r="E470" s="2" t="s">
        <v>44</v>
      </c>
      <c r="F470" s="2" t="s">
        <v>93</v>
      </c>
      <c r="G470">
        <v>51149</v>
      </c>
      <c r="H470">
        <v>12759.98</v>
      </c>
    </row>
    <row r="471" spans="1:8" hidden="1" x14ac:dyDescent="0.25">
      <c r="A471">
        <v>1442</v>
      </c>
      <c r="B471" s="5">
        <v>45635</v>
      </c>
      <c r="C471" s="2" t="s">
        <v>12</v>
      </c>
      <c r="D471" s="2" t="s">
        <v>16</v>
      </c>
      <c r="E471" s="2" t="s">
        <v>66</v>
      </c>
      <c r="F471" s="2" t="s">
        <v>38</v>
      </c>
      <c r="G471">
        <v>25011</v>
      </c>
      <c r="H471">
        <v>4338.49</v>
      </c>
    </row>
    <row r="472" spans="1:8" hidden="1" x14ac:dyDescent="0.25">
      <c r="A472">
        <v>1172</v>
      </c>
      <c r="B472" s="5">
        <v>45636</v>
      </c>
      <c r="C472" s="2" t="s">
        <v>8</v>
      </c>
      <c r="D472" s="2" t="s">
        <v>9</v>
      </c>
      <c r="E472" s="2" t="s">
        <v>35</v>
      </c>
      <c r="F472" s="2" t="s">
        <v>32</v>
      </c>
      <c r="G472">
        <v>4862</v>
      </c>
      <c r="H472">
        <v>1086.0999999999999</v>
      </c>
    </row>
    <row r="473" spans="1:8" hidden="1" x14ac:dyDescent="0.25">
      <c r="A473">
        <v>1471</v>
      </c>
      <c r="B473" s="5">
        <v>45636</v>
      </c>
      <c r="C473" s="2" t="s">
        <v>21</v>
      </c>
      <c r="D473" s="2" t="s">
        <v>13</v>
      </c>
      <c r="E473" s="2" t="s">
        <v>33</v>
      </c>
      <c r="F473" s="2" t="s">
        <v>90</v>
      </c>
      <c r="G473">
        <v>14852</v>
      </c>
      <c r="H473">
        <v>1715.8</v>
      </c>
    </row>
    <row r="474" spans="1:8" hidden="1" x14ac:dyDescent="0.25">
      <c r="A474">
        <v>1140</v>
      </c>
      <c r="B474" s="5">
        <v>45637</v>
      </c>
      <c r="C474" s="2" t="s">
        <v>21</v>
      </c>
      <c r="D474" s="2" t="s">
        <v>13</v>
      </c>
      <c r="E474" s="2" t="s">
        <v>41</v>
      </c>
      <c r="F474" s="2" t="s">
        <v>34</v>
      </c>
      <c r="G474">
        <v>17926</v>
      </c>
      <c r="H474">
        <v>1655.02</v>
      </c>
    </row>
    <row r="475" spans="1:8" hidden="1" x14ac:dyDescent="0.25">
      <c r="A475">
        <v>1032</v>
      </c>
      <c r="B475" s="5">
        <v>45638</v>
      </c>
      <c r="C475" s="2" t="s">
        <v>21</v>
      </c>
      <c r="D475" s="2" t="s">
        <v>16</v>
      </c>
      <c r="E475" s="2" t="s">
        <v>17</v>
      </c>
      <c r="F475" s="2" t="s">
        <v>54</v>
      </c>
      <c r="G475">
        <v>35232</v>
      </c>
      <c r="H475">
        <v>6427.04</v>
      </c>
    </row>
    <row r="476" spans="1:8" hidden="1" x14ac:dyDescent="0.25">
      <c r="A476">
        <v>1161</v>
      </c>
      <c r="B476" s="5">
        <v>45638</v>
      </c>
      <c r="C476" s="2" t="s">
        <v>8</v>
      </c>
      <c r="D476" s="2" t="s">
        <v>13</v>
      </c>
      <c r="E476" s="2" t="s">
        <v>22</v>
      </c>
      <c r="F476" s="2" t="s">
        <v>85</v>
      </c>
      <c r="G476">
        <v>42358</v>
      </c>
      <c r="H476">
        <v>4176.93</v>
      </c>
    </row>
    <row r="477" spans="1:8" hidden="1" x14ac:dyDescent="0.25">
      <c r="A477">
        <v>1204</v>
      </c>
      <c r="B477" s="5">
        <v>45638</v>
      </c>
      <c r="C477" s="2" t="s">
        <v>21</v>
      </c>
      <c r="D477" s="2" t="s">
        <v>13</v>
      </c>
      <c r="E477" s="2" t="s">
        <v>33</v>
      </c>
      <c r="F477" s="2" t="s">
        <v>87</v>
      </c>
      <c r="G477">
        <v>52242</v>
      </c>
      <c r="H477">
        <v>10174.870000000001</v>
      </c>
    </row>
    <row r="478" spans="1:8" hidden="1" x14ac:dyDescent="0.25">
      <c r="A478">
        <v>1359</v>
      </c>
      <c r="B478" s="5">
        <v>45641</v>
      </c>
      <c r="C478" s="2" t="s">
        <v>31</v>
      </c>
      <c r="D478" s="2" t="s">
        <v>16</v>
      </c>
      <c r="E478" s="2" t="s">
        <v>47</v>
      </c>
      <c r="F478" s="2" t="s">
        <v>115</v>
      </c>
      <c r="G478">
        <v>3019</v>
      </c>
      <c r="H478">
        <v>188.33</v>
      </c>
    </row>
    <row r="479" spans="1:8" hidden="1" x14ac:dyDescent="0.25">
      <c r="A479">
        <v>1146</v>
      </c>
      <c r="B479" s="5">
        <v>45642</v>
      </c>
      <c r="C479" s="2" t="s">
        <v>12</v>
      </c>
      <c r="D479" s="2" t="s">
        <v>9</v>
      </c>
      <c r="E479" s="2" t="s">
        <v>10</v>
      </c>
      <c r="F479" s="2" t="s">
        <v>89</v>
      </c>
      <c r="G479">
        <v>36836</v>
      </c>
      <c r="H479">
        <v>4519.9399999999996</v>
      </c>
    </row>
    <row r="480" spans="1:8" hidden="1" x14ac:dyDescent="0.25">
      <c r="A480">
        <v>1190</v>
      </c>
      <c r="B480" s="5">
        <v>45643</v>
      </c>
      <c r="C480" s="2" t="s">
        <v>12</v>
      </c>
      <c r="D480" s="2" t="s">
        <v>9</v>
      </c>
      <c r="E480" s="2" t="s">
        <v>27</v>
      </c>
      <c r="F480" s="2" t="s">
        <v>24</v>
      </c>
      <c r="G480">
        <v>40972</v>
      </c>
      <c r="H480">
        <v>5894.48</v>
      </c>
    </row>
    <row r="481" spans="1:8" hidden="1" x14ac:dyDescent="0.25">
      <c r="A481">
        <v>1192</v>
      </c>
      <c r="B481" s="5">
        <v>45644</v>
      </c>
      <c r="C481" s="2" t="s">
        <v>31</v>
      </c>
      <c r="D481" s="2" t="s">
        <v>13</v>
      </c>
      <c r="E481" s="2" t="s">
        <v>22</v>
      </c>
      <c r="F481" s="2" t="s">
        <v>64</v>
      </c>
      <c r="G481">
        <v>20901</v>
      </c>
      <c r="H481">
        <v>1586.37</v>
      </c>
    </row>
    <row r="482" spans="1:8" hidden="1" x14ac:dyDescent="0.25">
      <c r="A482">
        <v>1283</v>
      </c>
      <c r="B482" s="5">
        <v>45644</v>
      </c>
      <c r="C482" s="2" t="s">
        <v>21</v>
      </c>
      <c r="D482" s="2" t="s">
        <v>13</v>
      </c>
      <c r="E482" s="2" t="s">
        <v>33</v>
      </c>
      <c r="F482" s="2" t="s">
        <v>46</v>
      </c>
      <c r="G482">
        <v>23293</v>
      </c>
      <c r="H482">
        <v>5167.5200000000004</v>
      </c>
    </row>
    <row r="483" spans="1:8" hidden="1" x14ac:dyDescent="0.25">
      <c r="A483">
        <v>1134</v>
      </c>
      <c r="B483" s="5">
        <v>45646</v>
      </c>
      <c r="C483" s="2" t="s">
        <v>21</v>
      </c>
      <c r="D483" s="2" t="s">
        <v>16</v>
      </c>
      <c r="E483" s="2" t="s">
        <v>17</v>
      </c>
      <c r="F483" s="2" t="s">
        <v>53</v>
      </c>
      <c r="G483">
        <v>33558</v>
      </c>
      <c r="H483">
        <v>6902.37</v>
      </c>
    </row>
    <row r="484" spans="1:8" hidden="1" x14ac:dyDescent="0.25">
      <c r="A484">
        <v>1210</v>
      </c>
      <c r="B484" s="5">
        <v>45646</v>
      </c>
      <c r="C484" s="2" t="s">
        <v>12</v>
      </c>
      <c r="D484" s="2" t="s">
        <v>16</v>
      </c>
      <c r="E484" s="2" t="s">
        <v>44</v>
      </c>
      <c r="F484" s="2" t="s">
        <v>67</v>
      </c>
      <c r="G484">
        <v>10798</v>
      </c>
      <c r="H484">
        <v>1958.94</v>
      </c>
    </row>
    <row r="485" spans="1:8" hidden="1" x14ac:dyDescent="0.25">
      <c r="A485">
        <v>1250</v>
      </c>
      <c r="B485" s="5">
        <v>45646</v>
      </c>
      <c r="C485" s="2" t="s">
        <v>31</v>
      </c>
      <c r="D485" s="2" t="s">
        <v>9</v>
      </c>
      <c r="E485" s="2" t="s">
        <v>35</v>
      </c>
      <c r="F485" s="2" t="s">
        <v>15</v>
      </c>
      <c r="G485">
        <v>15098</v>
      </c>
      <c r="H485">
        <v>1559.81</v>
      </c>
    </row>
    <row r="486" spans="1:8" hidden="1" x14ac:dyDescent="0.25">
      <c r="A486">
        <v>1177</v>
      </c>
      <c r="B486" s="5">
        <v>45647</v>
      </c>
      <c r="C486" s="2" t="s">
        <v>8</v>
      </c>
      <c r="D486" s="2" t="s">
        <v>16</v>
      </c>
      <c r="E486" s="2" t="s">
        <v>66</v>
      </c>
      <c r="F486" s="2" t="s">
        <v>111</v>
      </c>
      <c r="G486">
        <v>40257</v>
      </c>
      <c r="H486">
        <v>5664.03</v>
      </c>
    </row>
    <row r="487" spans="1:8" hidden="1" x14ac:dyDescent="0.25">
      <c r="A487">
        <v>1141</v>
      </c>
      <c r="B487" s="5">
        <v>45648</v>
      </c>
      <c r="C487" s="2" t="s">
        <v>12</v>
      </c>
      <c r="D487" s="2" t="s">
        <v>16</v>
      </c>
      <c r="E487" s="2" t="s">
        <v>47</v>
      </c>
      <c r="F487" s="2" t="s">
        <v>45</v>
      </c>
      <c r="G487">
        <v>39334</v>
      </c>
      <c r="H487">
        <v>8784.01</v>
      </c>
    </row>
    <row r="488" spans="1:8" hidden="1" x14ac:dyDescent="0.25">
      <c r="A488">
        <v>1182</v>
      </c>
      <c r="B488" s="5">
        <v>45648</v>
      </c>
      <c r="C488" s="2" t="s">
        <v>31</v>
      </c>
      <c r="D488" s="2" t="s">
        <v>16</v>
      </c>
      <c r="E488" s="2" t="s">
        <v>17</v>
      </c>
      <c r="F488" s="2" t="s">
        <v>49</v>
      </c>
      <c r="G488">
        <v>24657</v>
      </c>
      <c r="H488">
        <v>5904.37</v>
      </c>
    </row>
    <row r="489" spans="1:8" hidden="1" x14ac:dyDescent="0.25">
      <c r="A489">
        <v>1276</v>
      </c>
      <c r="B489" s="5">
        <v>45648</v>
      </c>
      <c r="C489" s="2" t="s">
        <v>31</v>
      </c>
      <c r="D489" s="2" t="s">
        <v>13</v>
      </c>
      <c r="E489" s="2" t="s">
        <v>41</v>
      </c>
      <c r="F489" s="2" t="s">
        <v>100</v>
      </c>
      <c r="G489">
        <v>48648</v>
      </c>
      <c r="H489">
        <v>11957.31</v>
      </c>
    </row>
    <row r="490" spans="1:8" hidden="1" x14ac:dyDescent="0.25">
      <c r="A490">
        <v>1311</v>
      </c>
      <c r="B490" s="5">
        <v>45648</v>
      </c>
      <c r="C490" s="2" t="s">
        <v>8</v>
      </c>
      <c r="D490" s="2" t="s">
        <v>9</v>
      </c>
      <c r="E490" s="2" t="s">
        <v>25</v>
      </c>
      <c r="F490" s="2" t="s">
        <v>11</v>
      </c>
      <c r="G490">
        <v>49021</v>
      </c>
      <c r="H490">
        <v>9107.08</v>
      </c>
    </row>
    <row r="491" spans="1:8" hidden="1" x14ac:dyDescent="0.25">
      <c r="A491">
        <v>1298</v>
      </c>
      <c r="B491" s="5">
        <v>45649</v>
      </c>
      <c r="C491" s="2" t="s">
        <v>8</v>
      </c>
      <c r="D491" s="2" t="s">
        <v>9</v>
      </c>
      <c r="E491" s="2" t="s">
        <v>25</v>
      </c>
      <c r="F491" s="2" t="s">
        <v>93</v>
      </c>
      <c r="G491">
        <v>29265</v>
      </c>
      <c r="H491">
        <v>3804.9</v>
      </c>
    </row>
    <row r="492" spans="1:8" hidden="1" x14ac:dyDescent="0.25">
      <c r="A492">
        <v>1353</v>
      </c>
      <c r="B492" s="5">
        <v>45651</v>
      </c>
      <c r="C492" s="2" t="s">
        <v>21</v>
      </c>
      <c r="D492" s="2" t="s">
        <v>16</v>
      </c>
      <c r="E492" s="2" t="s">
        <v>66</v>
      </c>
      <c r="F492" s="2" t="s">
        <v>87</v>
      </c>
      <c r="G492">
        <v>30696</v>
      </c>
      <c r="H492">
        <v>3927.54</v>
      </c>
    </row>
    <row r="493" spans="1:8" hidden="1" x14ac:dyDescent="0.25">
      <c r="A493">
        <v>1476</v>
      </c>
      <c r="B493" s="5">
        <v>45652</v>
      </c>
      <c r="C493" s="2" t="s">
        <v>21</v>
      </c>
      <c r="D493" s="2" t="s">
        <v>16</v>
      </c>
      <c r="E493" s="2" t="s">
        <v>66</v>
      </c>
      <c r="F493" s="2" t="s">
        <v>58</v>
      </c>
      <c r="G493">
        <v>19370</v>
      </c>
      <c r="H493">
        <v>1454.47</v>
      </c>
    </row>
    <row r="494" spans="1:8" hidden="1" x14ac:dyDescent="0.25">
      <c r="A494">
        <v>1313</v>
      </c>
      <c r="B494" s="5">
        <v>45654</v>
      </c>
      <c r="C494" s="2" t="s">
        <v>31</v>
      </c>
      <c r="D494" s="2" t="s">
        <v>16</v>
      </c>
      <c r="E494" s="2" t="s">
        <v>44</v>
      </c>
      <c r="F494" s="2" t="s">
        <v>60</v>
      </c>
      <c r="G494">
        <v>34197</v>
      </c>
      <c r="H494">
        <v>5022.83</v>
      </c>
    </row>
    <row r="495" spans="1:8" hidden="1" x14ac:dyDescent="0.25">
      <c r="A495">
        <v>1408</v>
      </c>
      <c r="B495" s="5">
        <v>45654</v>
      </c>
      <c r="C495" s="2" t="s">
        <v>12</v>
      </c>
      <c r="D495" s="2" t="s">
        <v>16</v>
      </c>
      <c r="E495" s="2" t="s">
        <v>66</v>
      </c>
      <c r="F495" s="2" t="s">
        <v>43</v>
      </c>
      <c r="G495">
        <v>28239</v>
      </c>
      <c r="H495">
        <v>1797.57</v>
      </c>
    </row>
    <row r="496" spans="1:8" hidden="1" x14ac:dyDescent="0.25">
      <c r="A496">
        <v>1069</v>
      </c>
      <c r="B496" s="5">
        <v>45655</v>
      </c>
      <c r="C496" s="2" t="s">
        <v>12</v>
      </c>
      <c r="D496" s="2" t="s">
        <v>16</v>
      </c>
      <c r="E496" s="2" t="s">
        <v>17</v>
      </c>
      <c r="F496" s="2" t="s">
        <v>49</v>
      </c>
      <c r="G496">
        <v>6371</v>
      </c>
      <c r="H496">
        <v>1316.07</v>
      </c>
    </row>
    <row r="497" spans="1:8" hidden="1" x14ac:dyDescent="0.25">
      <c r="A497">
        <v>1211</v>
      </c>
      <c r="B497" s="5">
        <v>45656</v>
      </c>
      <c r="C497" s="2" t="s">
        <v>21</v>
      </c>
      <c r="D497" s="2" t="s">
        <v>9</v>
      </c>
      <c r="E497" s="2" t="s">
        <v>35</v>
      </c>
      <c r="F497" s="2" t="s">
        <v>90</v>
      </c>
      <c r="G497">
        <v>24776</v>
      </c>
      <c r="H497">
        <v>3462.86</v>
      </c>
    </row>
    <row r="498" spans="1:8" hidden="1" x14ac:dyDescent="0.25">
      <c r="A498">
        <v>1423</v>
      </c>
      <c r="B498" s="5">
        <v>45656</v>
      </c>
      <c r="C498" s="2" t="s">
        <v>8</v>
      </c>
      <c r="D498" s="2" t="s">
        <v>16</v>
      </c>
      <c r="E498" s="2" t="s">
        <v>44</v>
      </c>
      <c r="F498" s="2" t="s">
        <v>70</v>
      </c>
      <c r="G498">
        <v>44454</v>
      </c>
      <c r="H498">
        <v>6348.02</v>
      </c>
    </row>
    <row r="499" spans="1:8" hidden="1" x14ac:dyDescent="0.25">
      <c r="A499">
        <v>1188</v>
      </c>
      <c r="B499" s="5">
        <v>45657</v>
      </c>
      <c r="C499" s="2" t="s">
        <v>12</v>
      </c>
      <c r="D499" s="2" t="s">
        <v>13</v>
      </c>
      <c r="E499" s="2" t="s">
        <v>29</v>
      </c>
      <c r="F499" s="2" t="s">
        <v>85</v>
      </c>
      <c r="G499">
        <v>12770</v>
      </c>
      <c r="H499">
        <v>2236.9</v>
      </c>
    </row>
    <row r="500" spans="1:8" hidden="1" x14ac:dyDescent="0.25">
      <c r="A500">
        <v>1212</v>
      </c>
      <c r="B500" s="5">
        <v>45657</v>
      </c>
      <c r="C500" s="2" t="s">
        <v>12</v>
      </c>
      <c r="D500" s="2" t="s">
        <v>13</v>
      </c>
      <c r="E500" s="2" t="s">
        <v>29</v>
      </c>
      <c r="F500" s="2" t="s">
        <v>28</v>
      </c>
      <c r="G500">
        <v>27834</v>
      </c>
      <c r="H500">
        <v>1742.1</v>
      </c>
    </row>
    <row r="501" spans="1:8" hidden="1" x14ac:dyDescent="0.25">
      <c r="A501">
        <v>1434</v>
      </c>
      <c r="B501" s="5">
        <v>45657</v>
      </c>
      <c r="C501" s="2" t="s">
        <v>21</v>
      </c>
      <c r="D501" s="2" t="s">
        <v>9</v>
      </c>
      <c r="E501" s="2" t="s">
        <v>19</v>
      </c>
      <c r="F501" s="2" t="s">
        <v>28</v>
      </c>
      <c r="G501">
        <v>59661</v>
      </c>
      <c r="H501">
        <v>13769.88</v>
      </c>
    </row>
  </sheetData>
  <dataValidations count="1">
    <dataValidation type="date" showInputMessage="1" showErrorMessage="1" sqref="B1:B1048576" xr:uid="{D32A43C9-0E36-4137-AD4E-2A403E1CB46E}">
      <formula1>45293</formula1>
      <formula2>45647</formula2>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D7B4-500A-4A2D-A35E-22768FC65549}">
  <dimension ref="A1"/>
  <sheetViews>
    <sheetView showGridLines="0" workbookViewId="0">
      <selection activeCell="G7" sqref="G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56370C-0704-4297-9F8A-E440F03FC0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cat-profit</vt:lpstr>
      <vt:lpstr>reg-sale</vt:lpstr>
      <vt:lpstr>mon-sale</vt:lpstr>
      <vt:lpstr>reg-cat-profit</vt:lpstr>
      <vt:lpstr>pdt-sale</vt:lpstr>
      <vt:lpstr>cust-sale</vt:lpstr>
      <vt:lpstr>Sheet9</vt:lpstr>
      <vt:lpstr>Sheet2</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JDMC 12</dc:creator>
  <cp:lastModifiedBy>JDMC 12</cp:lastModifiedBy>
  <dcterms:created xsi:type="dcterms:W3CDTF">2026-03-13T05:42:00Z</dcterms:created>
  <dcterms:modified xsi:type="dcterms:W3CDTF">2026-04-06T04:58:26Z</dcterms:modified>
</cp:coreProperties>
</file>